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3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arol\projects\analise-ecommerce-veiculos\dashboard\"/>
    </mc:Choice>
  </mc:AlternateContent>
  <xr:revisionPtr revIDLastSave="0" documentId="13_ncr:1_{97D17491-35DB-4DDC-AB93-B7977DCA920B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00000000-000D-0000-FFFF-FFFF00000000}"/>
  </bookViews>
  <sheets>
    <sheet name="Dashboard" sheetId="5" r:id="rId1"/>
    <sheet name="Perfil dos Leads" sheetId="7" r:id="rId2"/>
    <sheet name="Resultados" sheetId="3" state="hidden" r:id="rId3"/>
    <sheet name="Queries" sheetId="4" state="hidden" r:id="rId4"/>
  </sheets>
  <externalReferences>
    <externalReference r:id="rId5"/>
  </externalReferences>
  <definedNames>
    <definedName name="_xlchart.v1.4" hidden="1">[1]Output!$V$4:$W$321</definedName>
    <definedName name="_xlchart.v1.5" hidden="1">[1]Output!$X$3</definedName>
    <definedName name="_xlchart.v1.6" hidden="1">[1]Output!$X$4:$X$321</definedName>
    <definedName name="_xlchart.v5.0" hidden="1">Resultados!$I$3:$J$3</definedName>
    <definedName name="_xlchart.v5.1" hidden="1">Resultados!$I$4:$J$8</definedName>
    <definedName name="_xlchart.v5.10" hidden="1">Resultados!$K$4:$K$8</definedName>
    <definedName name="_xlchart.v5.2" hidden="1">Resultados!$K$3</definedName>
    <definedName name="_xlchart.v5.3" hidden="1">Resultados!$K$4:$K$8</definedName>
    <definedName name="_xlchart.v5.7" hidden="1">Resultados!$I$3:$J$3</definedName>
    <definedName name="_xlchart.v5.8" hidden="1">Resultados!$I$4:$J$8</definedName>
    <definedName name="_xlchart.v5.9" hidden="1">Resultados!$K$3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9" i="3" l="1"/>
  <c r="E29" i="3" l="1"/>
  <c r="F29" i="3" l="1"/>
  <c r="G29" i="3" l="1"/>
  <c r="H29" i="3" l="1"/>
  <c r="I29" i="3" l="1"/>
  <c r="J29" i="3" l="1"/>
  <c r="K29" i="3" l="1"/>
  <c r="L29" i="3" l="1"/>
  <c r="M29" i="3" l="1"/>
  <c r="N29" i="3" l="1"/>
</calcChain>
</file>

<file path=xl/sharedStrings.xml><?xml version="1.0" encoding="utf-8"?>
<sst xmlns="http://schemas.openxmlformats.org/spreadsheetml/2006/main" count="724" uniqueCount="425">
  <si>
    <t>mês</t>
  </si>
  <si>
    <t>leads (#)</t>
  </si>
  <si>
    <t>vendas (#)</t>
  </si>
  <si>
    <t>receita (k, R$)</t>
  </si>
  <si>
    <t>conversão (%)</t>
  </si>
  <si>
    <t>ticket médio (k, R$)</t>
  </si>
  <si>
    <t>estado</t>
  </si>
  <si>
    <t>país</t>
  </si>
  <si>
    <t>marca</t>
  </si>
  <si>
    <t>loja</t>
  </si>
  <si>
    <t>dia_semana</t>
  </si>
  <si>
    <t>dia da semana</t>
  </si>
  <si>
    <t>visitas (#)</t>
  </si>
  <si>
    <t>1 - Receita, leads, conversão e ticket médio mês a mês</t>
  </si>
  <si>
    <t>2- Estados que mais venderam</t>
  </si>
  <si>
    <t>3 - Marcas que mais venderam no mês</t>
  </si>
  <si>
    <t>4 - Lojas que mais venderam</t>
  </si>
  <si>
    <t>5 - Dias da semana com maior número de visitas ao site</t>
  </si>
  <si>
    <t>Brasil</t>
  </si>
  <si>
    <t>São Paulo</t>
  </si>
  <si>
    <t>Minas Gerais</t>
  </si>
  <si>
    <t>Santa Catarina</t>
  </si>
  <si>
    <t>Rio de Janeiro</t>
  </si>
  <si>
    <t>Rio Grande do Sul</t>
  </si>
  <si>
    <t>FIAT</t>
  </si>
  <si>
    <t>CHEVROLET</t>
  </si>
  <si>
    <t>VOLKSWAGEN</t>
  </si>
  <si>
    <t>FORD</t>
  </si>
  <si>
    <t>RENAULT</t>
  </si>
  <si>
    <t>KIYOKO CILEIDI JERY LTDA</t>
  </si>
  <si>
    <t>CLAUDINEO JOZENAIDE LUYANE LTDA</t>
  </si>
  <si>
    <t>ADO JUBERTH VALTUIDES LTDA</t>
  </si>
  <si>
    <t>GERRIVALDO ROSIELEN VALTEIDE LTDA</t>
  </si>
  <si>
    <t>NILFA CID SILVANDRO LTDA</t>
  </si>
  <si>
    <t>domingo</t>
  </si>
  <si>
    <t>segunda</t>
  </si>
  <si>
    <t>terça</t>
  </si>
  <si>
    <t>quarta</t>
  </si>
  <si>
    <t>quinta</t>
  </si>
  <si>
    <t>sexta</t>
  </si>
  <si>
    <t>sábado</t>
  </si>
  <si>
    <t>Análise de Vendas</t>
  </si>
  <si>
    <t>Perfil do Leads</t>
  </si>
  <si>
    <t>1-Gênero dos leads</t>
  </si>
  <si>
    <t>2-Status profissional dos leads</t>
  </si>
  <si>
    <t>3-Faixa etária dos leads</t>
  </si>
  <si>
    <t>4-Faixa salarial dos leads</t>
  </si>
  <si>
    <t>5-Classificação dos veículos</t>
  </si>
  <si>
    <t>6-Idade dos veículos</t>
  </si>
  <si>
    <t>gênero</t>
  </si>
  <si>
    <t>status profissional</t>
  </si>
  <si>
    <t>leads (%)</t>
  </si>
  <si>
    <t>faixa etária</t>
  </si>
  <si>
    <t>faixa salarial</t>
  </si>
  <si>
    <t>ordem</t>
  </si>
  <si>
    <t>classificação do veículo</t>
  </si>
  <si>
    <t>veículos visitados (#)</t>
  </si>
  <si>
    <t>idade do veículo</t>
  </si>
  <si>
    <t>veículos visitados (%)</t>
  </si>
  <si>
    <t>mulheres</t>
  </si>
  <si>
    <t>estudante</t>
  </si>
  <si>
    <t>20-40</t>
  </si>
  <si>
    <t>20.000+</t>
  </si>
  <si>
    <t>novo</t>
  </si>
  <si>
    <t>até 2 anos</t>
  </si>
  <si>
    <t>homens</t>
  </si>
  <si>
    <t>funcionário(a) público(a)</t>
  </si>
  <si>
    <t>40-60</t>
  </si>
  <si>
    <t>15.000-20.000</t>
  </si>
  <si>
    <t>seminovo</t>
  </si>
  <si>
    <t>de 2 à 4 anos</t>
  </si>
  <si>
    <t>aposentado(a)</t>
  </si>
  <si>
    <t>60-80</t>
  </si>
  <si>
    <t>10.000-15.000</t>
  </si>
  <si>
    <t>de 4 à 6 anos</t>
  </si>
  <si>
    <t>freelancer</t>
  </si>
  <si>
    <t>80+</t>
  </si>
  <si>
    <t>5.000-10.000</t>
  </si>
  <si>
    <t>de 6 à 8 anos</t>
  </si>
  <si>
    <t>autônomo(a)</t>
  </si>
  <si>
    <t>0-20</t>
  </si>
  <si>
    <t>0-5.000</t>
  </si>
  <si>
    <t>de 8 à 10 anos</t>
  </si>
  <si>
    <t>empresário(a)</t>
  </si>
  <si>
    <t>acima de 10 anos</t>
  </si>
  <si>
    <t>outro</t>
  </si>
  <si>
    <t>clt</t>
  </si>
  <si>
    <t>7-Veículos mais visitados por marca</t>
  </si>
  <si>
    <t>brand</t>
  </si>
  <si>
    <t>model</t>
  </si>
  <si>
    <t>AUDI</t>
  </si>
  <si>
    <t>A1</t>
  </si>
  <si>
    <t>A3</t>
  </si>
  <si>
    <t>A4</t>
  </si>
  <si>
    <t>A5</t>
  </si>
  <si>
    <t>A6</t>
  </si>
  <si>
    <t>A7</t>
  </si>
  <si>
    <t>Q3</t>
  </si>
  <si>
    <t>Q5</t>
  </si>
  <si>
    <t>Q7</t>
  </si>
  <si>
    <t>R8</t>
  </si>
  <si>
    <t>RS4</t>
  </si>
  <si>
    <t>TT</t>
  </si>
  <si>
    <t>TTS</t>
  </si>
  <si>
    <t>BMW</t>
  </si>
  <si>
    <t>116IA</t>
  </si>
  <si>
    <t>118IA</t>
  </si>
  <si>
    <t>118IA/</t>
  </si>
  <si>
    <t>120IA</t>
  </si>
  <si>
    <t>125I</t>
  </si>
  <si>
    <t>130I</t>
  </si>
  <si>
    <t>130IA</t>
  </si>
  <si>
    <t>225I</t>
  </si>
  <si>
    <t>316I</t>
  </si>
  <si>
    <t>318IA</t>
  </si>
  <si>
    <t>320IA</t>
  </si>
  <si>
    <t>328IA</t>
  </si>
  <si>
    <t>420I</t>
  </si>
  <si>
    <t>I8</t>
  </si>
  <si>
    <t>M2</t>
  </si>
  <si>
    <t>M4</t>
  </si>
  <si>
    <t>M5</t>
  </si>
  <si>
    <t>M6</t>
  </si>
  <si>
    <t>X1</t>
  </si>
  <si>
    <t>X2</t>
  </si>
  <si>
    <t>X3</t>
  </si>
  <si>
    <t>X4</t>
  </si>
  <si>
    <t>X5</t>
  </si>
  <si>
    <t>X6</t>
  </si>
  <si>
    <t>Z4</t>
  </si>
  <si>
    <t>CHERY</t>
  </si>
  <si>
    <t>ARRIZO</t>
  </si>
  <si>
    <t>CELER</t>
  </si>
  <si>
    <t>CIELO</t>
  </si>
  <si>
    <t>FACE</t>
  </si>
  <si>
    <t>QQ</t>
  </si>
  <si>
    <t>TIGGO</t>
  </si>
  <si>
    <t>AGILE</t>
  </si>
  <si>
    <t>ASTRA</t>
  </si>
  <si>
    <t>CAMARO</t>
  </si>
  <si>
    <t>CAPTIVA</t>
  </si>
  <si>
    <t>CELTA</t>
  </si>
  <si>
    <t>CHEVROLET/CLASSIC</t>
  </si>
  <si>
    <t>CHEVROLET/ONIX</t>
  </si>
  <si>
    <t>CLASSIC</t>
  </si>
  <si>
    <t>COBALT</t>
  </si>
  <si>
    <t>CORSA</t>
  </si>
  <si>
    <t>CRUZE</t>
  </si>
  <si>
    <t>GM/ASTRA</t>
  </si>
  <si>
    <t>GM/CORSA</t>
  </si>
  <si>
    <t>I/CHEVROLET</t>
  </si>
  <si>
    <t>I/GM</t>
  </si>
  <si>
    <t>JOY</t>
  </si>
  <si>
    <t>MALIBU</t>
  </si>
  <si>
    <t>MERIVA</t>
  </si>
  <si>
    <t>MONTANA</t>
  </si>
  <si>
    <t>OMEGA</t>
  </si>
  <si>
    <t>ONIX</t>
  </si>
  <si>
    <t>PRISMA</t>
  </si>
  <si>
    <t>S10</t>
  </si>
  <si>
    <t>SONIC</t>
  </si>
  <si>
    <t>SPIN</t>
  </si>
  <si>
    <t>TRACKER</t>
  </si>
  <si>
    <t>TRAILBLAZER</t>
  </si>
  <si>
    <t>VECTRA</t>
  </si>
  <si>
    <t>ZAFIRA</t>
  </si>
  <si>
    <t>CHRYSLER</t>
  </si>
  <si>
    <t>PT</t>
  </si>
  <si>
    <t>TOWN</t>
  </si>
  <si>
    <t>CITROEN</t>
  </si>
  <si>
    <t>AIRCROSS</t>
  </si>
  <si>
    <t>C3</t>
  </si>
  <si>
    <t>C4</t>
  </si>
  <si>
    <t>C5</t>
  </si>
  <si>
    <t>CITROE</t>
  </si>
  <si>
    <t>DS3</t>
  </si>
  <si>
    <t>DS4</t>
  </si>
  <si>
    <t>DS5</t>
  </si>
  <si>
    <t>I/CITROEN</t>
  </si>
  <si>
    <t>JUMPER</t>
  </si>
  <si>
    <t>XSARA</t>
  </si>
  <si>
    <t>DODGE</t>
  </si>
  <si>
    <t>JOURNEY</t>
  </si>
  <si>
    <t>RAM</t>
  </si>
  <si>
    <t>EFFA</t>
  </si>
  <si>
    <t>K01</t>
  </si>
  <si>
    <t>ARGO</t>
  </si>
  <si>
    <t>BRAVO</t>
  </si>
  <si>
    <t>CRONOS</t>
  </si>
  <si>
    <t>DOBLO</t>
  </si>
  <si>
    <t>DUCATO</t>
  </si>
  <si>
    <t>FIAT/PALIO</t>
  </si>
  <si>
    <t>FIAT/UNO</t>
  </si>
  <si>
    <t>FIORINO</t>
  </si>
  <si>
    <t>FREEMONT</t>
  </si>
  <si>
    <t>GRAND</t>
  </si>
  <si>
    <t>I/FIAT</t>
  </si>
  <si>
    <t>IDEA</t>
  </si>
  <si>
    <t>LINEA</t>
  </si>
  <si>
    <t>MOBI</t>
  </si>
  <si>
    <t>PALIO</t>
  </si>
  <si>
    <t>PUNTO</t>
  </si>
  <si>
    <t>SIENA</t>
  </si>
  <si>
    <t>STILO</t>
  </si>
  <si>
    <t>STRADA</t>
  </si>
  <si>
    <t>TORO</t>
  </si>
  <si>
    <t>UNO</t>
  </si>
  <si>
    <t>COURIER</t>
  </si>
  <si>
    <t>ECOSPORT</t>
  </si>
  <si>
    <t>EDGE</t>
  </si>
  <si>
    <t>F-250</t>
  </si>
  <si>
    <t>FIESTA</t>
  </si>
  <si>
    <t>FOCUS</t>
  </si>
  <si>
    <t>FORD/FIESTA</t>
  </si>
  <si>
    <t>FUSION</t>
  </si>
  <si>
    <t>I/FORD</t>
  </si>
  <si>
    <t>KA</t>
  </si>
  <si>
    <t>KA+</t>
  </si>
  <si>
    <t>MUSTANG</t>
  </si>
  <si>
    <t>RANGER</t>
  </si>
  <si>
    <t>TRANSIT</t>
  </si>
  <si>
    <t>FOTON</t>
  </si>
  <si>
    <t>AUMARK</t>
  </si>
  <si>
    <t>GEELY</t>
  </si>
  <si>
    <t>EC7</t>
  </si>
  <si>
    <t>HAFEI</t>
  </si>
  <si>
    <t>TOWNER</t>
  </si>
  <si>
    <t>HONDA</t>
  </si>
  <si>
    <t>ACCORD</t>
  </si>
  <si>
    <t>CITY</t>
  </si>
  <si>
    <t>CIVIC</t>
  </si>
  <si>
    <t>CR-V</t>
  </si>
  <si>
    <t>FIT</t>
  </si>
  <si>
    <t>HONDA/CIVIC</t>
  </si>
  <si>
    <t>HR-V</t>
  </si>
  <si>
    <t>WR-V</t>
  </si>
  <si>
    <t>HYUNDAI</t>
  </si>
  <si>
    <t>AZERA</t>
  </si>
  <si>
    <t>CRETA</t>
  </si>
  <si>
    <t>ELANTRA</t>
  </si>
  <si>
    <t>GENESIS</t>
  </si>
  <si>
    <t>HB20</t>
  </si>
  <si>
    <t>HB20S</t>
  </si>
  <si>
    <t>HB20X</t>
  </si>
  <si>
    <t>HR</t>
  </si>
  <si>
    <t>I/HYUNDAI</t>
  </si>
  <si>
    <t>I30</t>
  </si>
  <si>
    <t>I30CW</t>
  </si>
  <si>
    <t>IX35</t>
  </si>
  <si>
    <t>SANTA</t>
  </si>
  <si>
    <t>SONATA</t>
  </si>
  <si>
    <t>TUCSON</t>
  </si>
  <si>
    <t>VELOSTER</t>
  </si>
  <si>
    <t>VERACRUZ</t>
  </si>
  <si>
    <t>JAC</t>
  </si>
  <si>
    <t>IEV</t>
  </si>
  <si>
    <t>J2</t>
  </si>
  <si>
    <t>J3</t>
  </si>
  <si>
    <t>J5</t>
  </si>
  <si>
    <t>J6</t>
  </si>
  <si>
    <t>T40</t>
  </si>
  <si>
    <t>T5</t>
  </si>
  <si>
    <t>T6</t>
  </si>
  <si>
    <t>T60</t>
  </si>
  <si>
    <t>T8</t>
  </si>
  <si>
    <t>T80</t>
  </si>
  <si>
    <t>JAGUAR</t>
  </si>
  <si>
    <t>E-PACE</t>
  </si>
  <si>
    <t>F-PACE</t>
  </si>
  <si>
    <t>XE</t>
  </si>
  <si>
    <t>XF</t>
  </si>
  <si>
    <t>JEEP</t>
  </si>
  <si>
    <t>CHEROKEE</t>
  </si>
  <si>
    <t>COMPASS</t>
  </si>
  <si>
    <t>RENEGADE</t>
  </si>
  <si>
    <t>RENEGADE1.8</t>
  </si>
  <si>
    <t>JINBEI</t>
  </si>
  <si>
    <t>TOPIC</t>
  </si>
  <si>
    <t>KIA MOTORS</t>
  </si>
  <si>
    <t>BONGO</t>
  </si>
  <si>
    <t>CADENZA</t>
  </si>
  <si>
    <t>CARENS</t>
  </si>
  <si>
    <t>CARNIVAL</t>
  </si>
  <si>
    <t>CERATO</t>
  </si>
  <si>
    <t>OPTIMA</t>
  </si>
  <si>
    <t>PICANTO</t>
  </si>
  <si>
    <t>SORENTO</t>
  </si>
  <si>
    <t>SOUL</t>
  </si>
  <si>
    <t>SPORTAGE</t>
  </si>
  <si>
    <t>LAMBORGHINI</t>
  </si>
  <si>
    <t>GALLARDO</t>
  </si>
  <si>
    <t>LAND ROVER</t>
  </si>
  <si>
    <t>DEFENDER</t>
  </si>
  <si>
    <t>DISCOVERY</t>
  </si>
  <si>
    <t>DISCOVERY3</t>
  </si>
  <si>
    <t>DISCOVERY4</t>
  </si>
  <si>
    <t>FREELANDER2</t>
  </si>
  <si>
    <t>RANGE</t>
  </si>
  <si>
    <t>LEXUS</t>
  </si>
  <si>
    <t>CT200H</t>
  </si>
  <si>
    <t>ES-350</t>
  </si>
  <si>
    <t>NX-300</t>
  </si>
  <si>
    <t>LIFAN</t>
  </si>
  <si>
    <t>X60</t>
  </si>
  <si>
    <t>MERCEDES-BENZ</t>
  </si>
  <si>
    <t>A</t>
  </si>
  <si>
    <t>C-180</t>
  </si>
  <si>
    <t>C-200</t>
  </si>
  <si>
    <t>C-250</t>
  </si>
  <si>
    <t>C-300</t>
  </si>
  <si>
    <t>CLA-180</t>
  </si>
  <si>
    <t>CLA-200</t>
  </si>
  <si>
    <t>CLA-250</t>
  </si>
  <si>
    <t>CLASSE</t>
  </si>
  <si>
    <t>E-250</t>
  </si>
  <si>
    <t>E-63</t>
  </si>
  <si>
    <t>GL-500</t>
  </si>
  <si>
    <t>GLA</t>
  </si>
  <si>
    <t>GLC</t>
  </si>
  <si>
    <t>GLE-400</t>
  </si>
  <si>
    <t>ML-350</t>
  </si>
  <si>
    <t>ML-63</t>
  </si>
  <si>
    <t>SLK-200</t>
  </si>
  <si>
    <t>SLK-250</t>
  </si>
  <si>
    <t>SPRINTER</t>
  </si>
  <si>
    <t>MINI</t>
  </si>
  <si>
    <t>COOPER</t>
  </si>
  <si>
    <t>MITSUBISHI</t>
  </si>
  <si>
    <t>ASX</t>
  </si>
  <si>
    <t>ECLIPSE</t>
  </si>
  <si>
    <t>GRANDIS</t>
  </si>
  <si>
    <t>L200</t>
  </si>
  <si>
    <t>LANCER</t>
  </si>
  <si>
    <t>OUTLANDER</t>
  </si>
  <si>
    <t>PAJERO</t>
  </si>
  <si>
    <t>NISSAN</t>
  </si>
  <si>
    <t>FRONTIER</t>
  </si>
  <si>
    <t>KICKS</t>
  </si>
  <si>
    <t>LIVINA</t>
  </si>
  <si>
    <t>MARCH</t>
  </si>
  <si>
    <t>NISSAN/LIVINA</t>
  </si>
  <si>
    <t>SENTRA</t>
  </si>
  <si>
    <t>TIIDA</t>
  </si>
  <si>
    <t>VERSA</t>
  </si>
  <si>
    <t>X-TRAIL</t>
  </si>
  <si>
    <t>PEUGEOT</t>
  </si>
  <si>
    <t>BOXER</t>
  </si>
  <si>
    <t>HOGGAR</t>
  </si>
  <si>
    <t>PARTNER</t>
  </si>
  <si>
    <t>RCZ</t>
  </si>
  <si>
    <t>PORSCHE</t>
  </si>
  <si>
    <t>BOXSTER</t>
  </si>
  <si>
    <t>CAYENNE</t>
  </si>
  <si>
    <t>CAYMAN</t>
  </si>
  <si>
    <t>MACAN</t>
  </si>
  <si>
    <t>CAPTUR</t>
  </si>
  <si>
    <t>CLIO</t>
  </si>
  <si>
    <t>DUSTER</t>
  </si>
  <si>
    <t>FLUENCE</t>
  </si>
  <si>
    <t>KANGOO</t>
  </si>
  <si>
    <t>KWID</t>
  </si>
  <si>
    <t>LOGAN</t>
  </si>
  <si>
    <t>MASTER</t>
  </si>
  <si>
    <t>MEGANE</t>
  </si>
  <si>
    <t>RENAULT/SANDERO</t>
  </si>
  <si>
    <t>SANDERO</t>
  </si>
  <si>
    <t>SCÉNIC</t>
  </si>
  <si>
    <t>STEPWAY</t>
  </si>
  <si>
    <t>SYMBOL</t>
  </si>
  <si>
    <t>SMART</t>
  </si>
  <si>
    <t>FORTWO</t>
  </si>
  <si>
    <t>SSANGYONG</t>
  </si>
  <si>
    <t>ACTYON</t>
  </si>
  <si>
    <t>KYRON</t>
  </si>
  <si>
    <t>SUBARU</t>
  </si>
  <si>
    <t>IMPREZA</t>
  </si>
  <si>
    <t>SUZUKI</t>
  </si>
  <si>
    <t>SX4</t>
  </si>
  <si>
    <t>TOYOTA</t>
  </si>
  <si>
    <t>CAMRY</t>
  </si>
  <si>
    <t>COROLLA</t>
  </si>
  <si>
    <t>ETIOS</t>
  </si>
  <si>
    <t>HILUX</t>
  </si>
  <si>
    <t>PRIUS</t>
  </si>
  <si>
    <t>RAV4</t>
  </si>
  <si>
    <t>YARIS</t>
  </si>
  <si>
    <t>TROLLER</t>
  </si>
  <si>
    <t>T-4</t>
  </si>
  <si>
    <t>AMAROK</t>
  </si>
  <si>
    <t>BORA</t>
  </si>
  <si>
    <t>CROSSFOX</t>
  </si>
  <si>
    <t>FOX</t>
  </si>
  <si>
    <t>FUSCA</t>
  </si>
  <si>
    <t>GOL</t>
  </si>
  <si>
    <t>GOLF</t>
  </si>
  <si>
    <t>JETTA</t>
  </si>
  <si>
    <t>KOMBI</t>
  </si>
  <si>
    <t>NEW</t>
  </si>
  <si>
    <t>NIVUS</t>
  </si>
  <si>
    <t>PARATI</t>
  </si>
  <si>
    <t>PASSAT</t>
  </si>
  <si>
    <t>POLO</t>
  </si>
  <si>
    <t>SAVEIRO</t>
  </si>
  <si>
    <t>SPACECROSS</t>
  </si>
  <si>
    <t>SPACEFOX</t>
  </si>
  <si>
    <t>T-CROSS</t>
  </si>
  <si>
    <t>TIGUAN</t>
  </si>
  <si>
    <t>TOUAREG</t>
  </si>
  <si>
    <t>UP!</t>
  </si>
  <si>
    <t>VIRTUS</t>
  </si>
  <si>
    <t>VOYAGE</t>
  </si>
  <si>
    <t>VW/FOX</t>
  </si>
  <si>
    <t>VW/NOVO</t>
  </si>
  <si>
    <t>VOLVO</t>
  </si>
  <si>
    <t>C30</t>
  </si>
  <si>
    <t>S60</t>
  </si>
  <si>
    <t>V40</t>
  </si>
  <si>
    <t>V60</t>
  </si>
  <si>
    <t>XC</t>
  </si>
  <si>
    <t>1. Leads que visitam o site é um público predominantemente feminino 60% e 40% masculino</t>
  </si>
  <si>
    <t>2. Cerca de 65% do público é CLT</t>
  </si>
  <si>
    <t>4. Possui faixa etária entre 20 e 40 anos</t>
  </si>
  <si>
    <t>5. Classe média com faixa salarial de 5 a 10k</t>
  </si>
  <si>
    <t xml:space="preserve">6. Cerca de ~70% do Público está de veículos semi novos e acima de 6 anos  </t>
  </si>
  <si>
    <t xml:space="preserve">7. Modelos mais visitados estão os modelos: Palio, Gol, Fiesta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</si>
</sst>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#,##0.0"/>
    <numFmt numFmtId="165" formatCode="[$-416]mmm\-yy;@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9" fontId="0" fillId="2" borderId="0" xfId="0" applyNumberFormat="1" applyFill="1"/>
    <xf numFmtId="9" fontId="0" fillId="0" borderId="0" xfId="0" applyNumberFormat="1"/>
    <xf numFmtId="164" fontId="0" fillId="2" borderId="0" xfId="0" applyNumberFormat="1" applyFill="1"/>
    <xf numFmtId="3" fontId="0" fillId="2" borderId="0" xfId="0" applyNumberFormat="1" applyFill="1"/>
    <xf numFmtId="165" fontId="0" fillId="2" borderId="0" xfId="0" applyNumberFormat="1" applyFill="1"/>
    <xf numFmtId="17" fontId="1" fillId="0" borderId="0" xfId="0" applyNumberFormat="1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3" fillId="0" borderId="0" xfId="0" applyFont="1"/>
    <xf numFmtId="9" fontId="0" fillId="2" borderId="0" xfId="2" applyFont="1" applyFill="1"/>
    <xf numFmtId="166" fontId="0" fillId="2" borderId="0" xfId="1" applyNumberFormat="1" applyFont="1" applyFill="1"/>
    <xf numFmtId="2" fontId="0" fillId="0" borderId="0" xfId="2" applyNumberFormat="1" applyFont="1"/>
    <xf numFmtId="0" fontId="0" fillId="0" borderId="0" xfId="0" applyAlignment="1">
      <alignment horizontal="left"/>
    </xf>
  </cellXfs>
  <cellStyles count="3">
    <cellStyle name="Normal" xfId="0" builtinId="0"/>
    <cellStyle name="Porcentagem" xfId="2" builtinId="5"/>
    <cellStyle name="Vírgula" xfId="1" builtinId="3"/>
  </cellStyles>
  <dxfs count="0"/>
  <tableStyles count="0" defaultTableStyle="TableStyleMedium2" defaultPivotStyle="PivotStyleLight16"/>
  <colors>
    <mruColors>
      <color rgb="FFBFBFBF"/>
      <color rgb="FF1C819E"/>
      <color rgb="FFFFBE00"/>
      <color rgb="FFA6A6A6"/>
      <color rgb="FF176C83"/>
      <color rgb="FF404040"/>
      <color rgb="FFC89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Leads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964838790962708E-2"/>
          <c:y val="0.19366649151933321"/>
          <c:w val="0.86520753223694313"/>
          <c:h val="0.638861410766545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Resultados!$C$3</c:f>
              <c:strCache>
                <c:ptCount val="1"/>
                <c:pt idx="0">
                  <c:v>leads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Resultados!$C$4:$C$15</c:f>
              <c:numCache>
                <c:formatCode>#,##0</c:formatCode>
                <c:ptCount val="12"/>
                <c:pt idx="0">
                  <c:v>26</c:v>
                </c:pt>
                <c:pt idx="1">
                  <c:v>931</c:v>
                </c:pt>
                <c:pt idx="2">
                  <c:v>1207</c:v>
                </c:pt>
                <c:pt idx="3">
                  <c:v>1008</c:v>
                </c:pt>
                <c:pt idx="4">
                  <c:v>1058</c:v>
                </c:pt>
                <c:pt idx="5">
                  <c:v>1300</c:v>
                </c:pt>
                <c:pt idx="6">
                  <c:v>1932</c:v>
                </c:pt>
                <c:pt idx="7">
                  <c:v>2376</c:v>
                </c:pt>
                <c:pt idx="8">
                  <c:v>3819</c:v>
                </c:pt>
                <c:pt idx="9">
                  <c:v>4440</c:v>
                </c:pt>
                <c:pt idx="10">
                  <c:v>6130</c:v>
                </c:pt>
                <c:pt idx="11">
                  <c:v>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3-4A20-B5E8-57C87E482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305806031"/>
        <c:axId val="1305802703"/>
      </c:barChart>
      <c:lineChart>
        <c:grouping val="standard"/>
        <c:varyColors val="0"/>
        <c:ser>
          <c:idx val="1"/>
          <c:order val="1"/>
          <c:tx>
            <c:strRef>
              <c:f>Resultados!$F$3</c:f>
              <c:strCache>
                <c:ptCount val="1"/>
                <c:pt idx="0">
                  <c:v>conversão (%)</c:v>
                </c:pt>
              </c:strCache>
            </c:strRef>
          </c:tx>
          <c:spPr>
            <a:ln w="28575" cap="rnd">
              <a:solidFill>
                <a:srgbClr val="FFBE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Resultados!$F$4:$F$15</c:f>
              <c:numCache>
                <c:formatCode>0%</c:formatCode>
                <c:ptCount val="12"/>
                <c:pt idx="0">
                  <c:v>0.19</c:v>
                </c:pt>
                <c:pt idx="1">
                  <c:v>0.04</c:v>
                </c:pt>
                <c:pt idx="2">
                  <c:v>0.04</c:v>
                </c:pt>
                <c:pt idx="3">
                  <c:v>0.03</c:v>
                </c:pt>
                <c:pt idx="4">
                  <c:v>0.03</c:v>
                </c:pt>
                <c:pt idx="5">
                  <c:v>0.05</c:v>
                </c:pt>
                <c:pt idx="6">
                  <c:v>0.06</c:v>
                </c:pt>
                <c:pt idx="7">
                  <c:v>0.06</c:v>
                </c:pt>
                <c:pt idx="8">
                  <c:v>0.1</c:v>
                </c:pt>
                <c:pt idx="9">
                  <c:v>0.13</c:v>
                </c:pt>
                <c:pt idx="10">
                  <c:v>0.18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63-4A20-B5E8-57C87E482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420143"/>
        <c:axId val="1886418895"/>
      </c:lineChart>
      <c:dateAx>
        <c:axId val="1305806031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802703"/>
        <c:crosses val="autoZero"/>
        <c:auto val="1"/>
        <c:lblOffset val="100"/>
        <c:baseTimeUnit val="months"/>
      </c:dateAx>
      <c:valAx>
        <c:axId val="130580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806031"/>
        <c:crosses val="autoZero"/>
        <c:crossBetween val="between"/>
      </c:valAx>
      <c:valAx>
        <c:axId val="1886418895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6420143"/>
        <c:crosses val="max"/>
        <c:crossBetween val="between"/>
      </c:valAx>
      <c:dateAx>
        <c:axId val="1886420143"/>
        <c:scaling>
          <c:orientation val="minMax"/>
        </c:scaling>
        <c:delete val="1"/>
        <c:axPos val="b"/>
        <c:numFmt formatCode="[$-416]mmm\-yy;@" sourceLinked="1"/>
        <c:majorTickMark val="out"/>
        <c:minorTickMark val="none"/>
        <c:tickLblPos val="nextTo"/>
        <c:crossAx val="188641889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0"/>
              <a:t>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964838790962708E-2"/>
          <c:y val="0.19366649151933321"/>
          <c:w val="0.86520753223694313"/>
          <c:h val="0.638861410766545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Resultados!$E$3</c:f>
              <c:strCache>
                <c:ptCount val="1"/>
                <c:pt idx="0">
                  <c:v>receita (k, R$)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dLbl>
              <c:idx val="9"/>
              <c:layout>
                <c:manualLayout>
                  <c:x val="0"/>
                  <c:y val="1.10325704064762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C4-4D82-ADD3-271DB7A09C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Resultados!$E$4:$E$15</c:f>
              <c:numCache>
                <c:formatCode>#,##0</c:formatCode>
                <c:ptCount val="12"/>
                <c:pt idx="0">
                  <c:v>259</c:v>
                </c:pt>
                <c:pt idx="1">
                  <c:v>1676</c:v>
                </c:pt>
                <c:pt idx="2" formatCode="_-* #,##0_-;\-* #,##0_-;_-* &quot;-&quot;??_-;_-@_-">
                  <c:v>2279</c:v>
                </c:pt>
                <c:pt idx="3">
                  <c:v>2603</c:v>
                </c:pt>
                <c:pt idx="4">
                  <c:v>2297</c:v>
                </c:pt>
                <c:pt idx="5">
                  <c:v>3631</c:v>
                </c:pt>
                <c:pt idx="6">
                  <c:v>7911</c:v>
                </c:pt>
                <c:pt idx="7">
                  <c:v>7478</c:v>
                </c:pt>
                <c:pt idx="8">
                  <c:v>21508</c:v>
                </c:pt>
                <c:pt idx="9">
                  <c:v>33179</c:v>
                </c:pt>
                <c:pt idx="10">
                  <c:v>58988</c:v>
                </c:pt>
                <c:pt idx="11">
                  <c:v>68274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4-4D82-ADD3-271DB7A09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305806031"/>
        <c:axId val="1305802703"/>
      </c:barChart>
      <c:lineChart>
        <c:grouping val="standard"/>
        <c:varyColors val="0"/>
        <c:ser>
          <c:idx val="1"/>
          <c:order val="1"/>
          <c:tx>
            <c:strRef>
              <c:f>Resultados!$G$3</c:f>
              <c:strCache>
                <c:ptCount val="1"/>
                <c:pt idx="0">
                  <c:v>ticket médio (k, R$)</c:v>
                </c:pt>
              </c:strCache>
            </c:strRef>
          </c:tx>
          <c:spPr>
            <a:ln w="28575" cap="rnd">
              <a:solidFill>
                <a:srgbClr val="FFBE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Resultados!$G$4:$G$15</c:f>
              <c:numCache>
                <c:formatCode>#,##0.0</c:formatCode>
                <c:ptCount val="12"/>
                <c:pt idx="0">
                  <c:v>51.857999999999997</c:v>
                </c:pt>
                <c:pt idx="1">
                  <c:v>47.898767142857103</c:v>
                </c:pt>
                <c:pt idx="2">
                  <c:v>51.784261363636297</c:v>
                </c:pt>
                <c:pt idx="3">
                  <c:v>78.871778484848406</c:v>
                </c:pt>
                <c:pt idx="4">
                  <c:v>71.788251562499994</c:v>
                </c:pt>
                <c:pt idx="5">
                  <c:v>53.398469117646997</c:v>
                </c:pt>
                <c:pt idx="6">
                  <c:v>66.480609075630198</c:v>
                </c:pt>
                <c:pt idx="7">
                  <c:v>52.658844507042197</c:v>
                </c:pt>
                <c:pt idx="8">
                  <c:v>54.590041827411099</c:v>
                </c:pt>
                <c:pt idx="9">
                  <c:v>56.331488353140898</c:v>
                </c:pt>
                <c:pt idx="10">
                  <c:v>54.974637921714802</c:v>
                </c:pt>
                <c:pt idx="11">
                  <c:v>54.445048030302999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4-4D82-ADD3-271DB7A09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420143"/>
        <c:axId val="1886418895"/>
      </c:lineChart>
      <c:dateAx>
        <c:axId val="1305806031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802703"/>
        <c:crosses val="autoZero"/>
        <c:auto val="1"/>
        <c:lblOffset val="100"/>
        <c:baseTimeUnit val="months"/>
      </c:dateAx>
      <c:valAx>
        <c:axId val="1305802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5806031"/>
        <c:crosses val="autoZero"/>
        <c:crossBetween val="between"/>
      </c:valAx>
      <c:valAx>
        <c:axId val="1886418895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6420143"/>
        <c:crosses val="max"/>
        <c:crossBetween val="between"/>
      </c:valAx>
      <c:dateAx>
        <c:axId val="1886420143"/>
        <c:scaling>
          <c:orientation val="minMax"/>
        </c:scaling>
        <c:delete val="1"/>
        <c:axPos val="b"/>
        <c:numFmt formatCode="[$-416]mmm\-yy;@" sourceLinked="1"/>
        <c:majorTickMark val="out"/>
        <c:minorTickMark val="none"/>
        <c:tickLblPos val="nextTo"/>
        <c:crossAx val="188641889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marcas mais vendidas no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Resultados!$N$3</c:f>
              <c:strCache>
                <c:ptCount val="1"/>
                <c:pt idx="0">
                  <c:v>vendas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65000"/>
                  <a:alpha val="59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Resultados!$M$4:$M$8</c:f>
              <c:strCache>
                <c:ptCount val="5"/>
                <c:pt idx="0">
                  <c:v>FIAT</c:v>
                </c:pt>
                <c:pt idx="1">
                  <c:v>CHEVROLET</c:v>
                </c:pt>
                <c:pt idx="2">
                  <c:v>VOLKSWAGEN</c:v>
                </c:pt>
                <c:pt idx="3">
                  <c:v>FORD</c:v>
                </c:pt>
                <c:pt idx="4">
                  <c:v>RENAULT</c:v>
                </c:pt>
              </c:strCache>
            </c:strRef>
          </c:cat>
          <c:val>
            <c:numRef>
              <c:f>Resultados!$N$4:$N$8</c:f>
              <c:numCache>
                <c:formatCode>General</c:formatCode>
                <c:ptCount val="5"/>
                <c:pt idx="0">
                  <c:v>248</c:v>
                </c:pt>
                <c:pt idx="1">
                  <c:v>237</c:v>
                </c:pt>
                <c:pt idx="2">
                  <c:v>193</c:v>
                </c:pt>
                <c:pt idx="3">
                  <c:v>136</c:v>
                </c:pt>
                <c:pt idx="4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D-4BB7-ACAA-B64FCEA0CB7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928149903"/>
        <c:axId val="1928139087"/>
      </c:barChart>
      <c:catAx>
        <c:axId val="1928149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39087"/>
        <c:crosses val="autoZero"/>
        <c:auto val="1"/>
        <c:lblAlgn val="ctr"/>
        <c:lblOffset val="100"/>
        <c:noMultiLvlLbl val="0"/>
      </c:catAx>
      <c:valAx>
        <c:axId val="19281390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28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lojas que mais venderam no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Resultados!$Q$3</c:f>
              <c:strCache>
                <c:ptCount val="1"/>
                <c:pt idx="0">
                  <c:v>vendas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65000"/>
                  <a:alpha val="59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Resultados!$P$4:$P$8</c:f>
              <c:strCache>
                <c:ptCount val="5"/>
                <c:pt idx="0">
                  <c:v>KIYOKO CILEIDI JERY LTDA</c:v>
                </c:pt>
                <c:pt idx="1">
                  <c:v>CLAUDINEO JOZENAIDE LUYANE LTDA</c:v>
                </c:pt>
                <c:pt idx="2">
                  <c:v>ADO JUBERTH VALTUIDES LTDA</c:v>
                </c:pt>
                <c:pt idx="3">
                  <c:v>GERRIVALDO ROSIELEN VALTEIDE LTDA</c:v>
                </c:pt>
                <c:pt idx="4">
                  <c:v>NILFA CID SILVANDRO LTDA</c:v>
                </c:pt>
              </c:strCache>
            </c:strRef>
          </c:cat>
          <c:val>
            <c:numRef>
              <c:f>Resultados!$Q$4:$Q$8</c:f>
              <c:numCache>
                <c:formatCode>General</c:formatCode>
                <c:ptCount val="5"/>
                <c:pt idx="0">
                  <c:v>18</c:v>
                </c:pt>
                <c:pt idx="1">
                  <c:v>15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D-425A-BF87-60CA65213CD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928149903"/>
        <c:axId val="1928139087"/>
      </c:barChart>
      <c:catAx>
        <c:axId val="19281499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39087"/>
        <c:crosses val="autoZero"/>
        <c:auto val="1"/>
        <c:lblAlgn val="ctr"/>
        <c:lblOffset val="100"/>
        <c:noMultiLvlLbl val="0"/>
      </c:catAx>
      <c:valAx>
        <c:axId val="19281390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28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Visitas</a:t>
            </a:r>
            <a:r>
              <a:rPr lang="en-US" baseline="0"/>
              <a:t> ao site por dia da semana no mês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Resultados!$U$3</c:f>
              <c:strCache>
                <c:ptCount val="1"/>
                <c:pt idx="0">
                  <c:v>visitas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lumMod val="65000"/>
                  <a:alpha val="59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Resultados!$T$4:$T$10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Resultados!$U$4:$U$10</c:f>
              <c:numCache>
                <c:formatCode>General</c:formatCode>
                <c:ptCount val="7"/>
                <c:pt idx="0">
                  <c:v>67</c:v>
                </c:pt>
                <c:pt idx="1">
                  <c:v>1301</c:v>
                </c:pt>
                <c:pt idx="2">
                  <c:v>1238</c:v>
                </c:pt>
                <c:pt idx="3">
                  <c:v>1038</c:v>
                </c:pt>
                <c:pt idx="4">
                  <c:v>1076</c:v>
                </c:pt>
                <c:pt idx="5">
                  <c:v>956</c:v>
                </c:pt>
                <c:pt idx="6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C-410D-8E17-4D222137A1A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928149903"/>
        <c:axId val="1928139087"/>
      </c:barChart>
      <c:catAx>
        <c:axId val="192814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139087"/>
        <c:crosses val="autoZero"/>
        <c:auto val="1"/>
        <c:lblAlgn val="ctr"/>
        <c:lblOffset val="100"/>
        <c:noMultiLvlLbl val="0"/>
      </c:catAx>
      <c:valAx>
        <c:axId val="192813908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28149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[1]Output!$C$3</c:f>
              <c:strCache>
                <c:ptCount val="1"/>
                <c:pt idx="0">
                  <c:v>leads (#)</c:v>
                </c:pt>
              </c:strCache>
            </c:strRef>
          </c:tx>
          <c:dPt>
            <c:idx val="0"/>
            <c:bubble3D val="0"/>
            <c:spPr>
              <a:solidFill>
                <a:srgbClr val="FFBE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97-41C4-AA01-7A4F2136AB63}"/>
              </c:ext>
            </c:extLst>
          </c:dPt>
          <c:dPt>
            <c:idx val="1"/>
            <c:bubble3D val="0"/>
            <c:spPr>
              <a:solidFill>
                <a:srgbClr val="176C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97-41C4-AA01-7A4F2136AB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6DC33F2-3AA5-4560-A0F5-2C6D75CB2927}" type="VALUE">
                      <a:rPr lang="en-US"/>
                      <a:pPr/>
                      <a:t>[VALOR]</a:t>
                    </a:fld>
                    <a:endParaRPr lang="en-US" baseline="0"/>
                  </a:p>
                  <a:p>
                    <a:fld id="{07EFA0DD-BB59-4F53-BC1C-F87703EF62B5}" type="PERCENTAGE">
                      <a:rPr lang="en-US" baseline="0"/>
                      <a:pPr/>
                      <a:t>[PORCENTAGEM]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897-41C4-AA01-7A4F2136AB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C4F43C-D41B-43C1-8F03-3B716AB2B591}" type="VALUE">
                      <a:rPr lang="en-US"/>
                      <a:pPr/>
                      <a:t>[VALOR]</a:t>
                    </a:fld>
                    <a:endParaRPr lang="en-US" baseline="0"/>
                  </a:p>
                  <a:p>
                    <a:fld id="{F3B86DC2-4865-4D7A-831F-1239D61277EB}" type="PERCENTAGE">
                      <a:rPr lang="en-US" baseline="0"/>
                      <a:pPr/>
                      <a:t>[PORCENTAGEM]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897-41C4-AA01-7A4F2136AB63}"/>
                </c:ext>
              </c:extLst>
            </c:dLbl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[1]Output!$B$4:$B$5</c:f>
              <c:strCache>
                <c:ptCount val="2"/>
                <c:pt idx="0">
                  <c:v>mulheres</c:v>
                </c:pt>
                <c:pt idx="1">
                  <c:v>homens</c:v>
                </c:pt>
              </c:strCache>
            </c:strRef>
          </c:cat>
          <c:val>
            <c:numRef>
              <c:f>[1]Output!$C$4:$C$5</c:f>
              <c:numCache>
                <c:formatCode>General</c:formatCode>
                <c:ptCount val="2"/>
                <c:pt idx="0">
                  <c:v>15106</c:v>
                </c:pt>
                <c:pt idx="1">
                  <c:v>10003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97-41C4-AA01-7A4F2136AB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profissional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[1]Output!$F$3</c:f>
              <c:strCache>
                <c:ptCount val="1"/>
                <c:pt idx="0">
                  <c:v>leads (%)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[1]Output!$E$4:$E$11</c:f>
              <c:strCache>
                <c:ptCount val="8"/>
                <c:pt idx="0">
                  <c:v>estudante</c:v>
                </c:pt>
                <c:pt idx="1">
                  <c:v>funcionário(a) público(a)</c:v>
                </c:pt>
                <c:pt idx="2">
                  <c:v>aposentado(a)</c:v>
                </c:pt>
                <c:pt idx="3">
                  <c:v>freelancer</c:v>
                </c:pt>
                <c:pt idx="4">
                  <c:v>autônomo(a)</c:v>
                </c:pt>
                <c:pt idx="5">
                  <c:v>empresário(a)</c:v>
                </c:pt>
                <c:pt idx="6">
                  <c:v>outro</c:v>
                </c:pt>
                <c:pt idx="7">
                  <c:v>clt</c:v>
                </c:pt>
              </c:strCache>
            </c:strRef>
          </c:cat>
          <c:val>
            <c:numRef>
              <c:f>[1]Output!$F$4:$F$11</c:f>
              <c:numCache>
                <c:formatCode>General</c:formatCode>
                <c:ptCount val="8"/>
                <c:pt idx="0">
                  <c:v>3.9826357083117599E-5</c:v>
                </c:pt>
                <c:pt idx="1">
                  <c:v>1.7085507188657399E-2</c:v>
                </c:pt>
                <c:pt idx="2">
                  <c:v>4.2614202078935799E-2</c:v>
                </c:pt>
                <c:pt idx="3">
                  <c:v>5.2889402206380103E-2</c:v>
                </c:pt>
                <c:pt idx="4">
                  <c:v>7.2045879963359705E-2</c:v>
                </c:pt>
                <c:pt idx="5">
                  <c:v>7.5431120315424705E-2</c:v>
                </c:pt>
                <c:pt idx="6">
                  <c:v>9.0445656935759997E-2</c:v>
                </c:pt>
                <c:pt idx="7">
                  <c:v>0.64944840495439804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EF-44FD-B67C-1E4345159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412816704"/>
        <c:axId val="1412815456"/>
      </c:barChart>
      <c:catAx>
        <c:axId val="141281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Faixa etária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[1]Output!$I$3</c:f>
              <c:strCache>
                <c:ptCount val="1"/>
                <c:pt idx="0">
                  <c:v>leads (%)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[1]Output!$H$4:$H$8</c:f>
              <c:strCache>
                <c:ptCount val="5"/>
                <c:pt idx="0">
                  <c:v>20-40</c:v>
                </c:pt>
                <c:pt idx="1">
                  <c:v>40-60</c:v>
                </c:pt>
                <c:pt idx="2">
                  <c:v>60-80</c:v>
                </c:pt>
                <c:pt idx="3">
                  <c:v>80+</c:v>
                </c:pt>
                <c:pt idx="4">
                  <c:v>0-20</c:v>
                </c:pt>
              </c:strCache>
            </c:strRef>
          </c:cat>
          <c:val>
            <c:numRef>
              <c:f>[1]Output!$I$4:$I$8</c:f>
              <c:numCache>
                <c:formatCode>General</c:formatCode>
                <c:ptCount val="5"/>
                <c:pt idx="0">
                  <c:v>0.42709785335935302</c:v>
                </c:pt>
                <c:pt idx="1">
                  <c:v>0.333346608785694</c:v>
                </c:pt>
                <c:pt idx="2">
                  <c:v>0.20546417619180299</c:v>
                </c:pt>
                <c:pt idx="3">
                  <c:v>3.4091361663148599E-2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3-415D-AF2A-B328278DA1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412816704"/>
        <c:axId val="1412815456"/>
      </c:barChart>
      <c:catAx>
        <c:axId val="141281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Faixa salarial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[1]Output!$L$3</c:f>
              <c:strCache>
                <c:ptCount val="1"/>
                <c:pt idx="0">
                  <c:v>leads (%)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[1]Output!$K$4:$K$8</c:f>
              <c:strCache>
                <c:ptCount val="5"/>
                <c:pt idx="0">
                  <c:v>20.000+</c:v>
                </c:pt>
                <c:pt idx="1">
                  <c:v>15.000-20.000</c:v>
                </c:pt>
                <c:pt idx="2">
                  <c:v>10.000-15.000</c:v>
                </c:pt>
                <c:pt idx="3">
                  <c:v>5.000-10.000</c:v>
                </c:pt>
                <c:pt idx="4">
                  <c:v>0-5.000</c:v>
                </c:pt>
              </c:strCache>
            </c:strRef>
          </c:cat>
          <c:val>
            <c:numRef>
              <c:f>[1]Output!$L$4:$L$8</c:f>
              <c:numCache>
                <c:formatCode>General</c:formatCode>
                <c:ptCount val="5"/>
                <c:pt idx="0">
                  <c:v>1.6010195547413199E-2</c:v>
                </c:pt>
                <c:pt idx="1">
                  <c:v>1.7722728901987301E-2</c:v>
                </c:pt>
                <c:pt idx="2">
                  <c:v>9.5384125214066598E-2</c:v>
                </c:pt>
                <c:pt idx="3">
                  <c:v>0.71026325222031905</c:v>
                </c:pt>
                <c:pt idx="4">
                  <c:v>0.16061969811621299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3-43FA-AC2B-A3E7B56E74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412816704"/>
        <c:axId val="1412815456"/>
      </c:barChart>
      <c:catAx>
        <c:axId val="141281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670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Classificação do veículo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[1]Output!$P$3</c:f>
              <c:strCache>
                <c:ptCount val="1"/>
                <c:pt idx="0">
                  <c:v>veículos visitados (#)</c:v>
                </c:pt>
              </c:strCache>
            </c:strRef>
          </c:tx>
          <c:spPr>
            <a:solidFill>
              <a:srgbClr val="176C83"/>
            </a:solidFill>
          </c:spPr>
          <c:dPt>
            <c:idx val="0"/>
            <c:bubble3D val="0"/>
            <c:spPr>
              <a:solidFill>
                <a:srgbClr val="FFBE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7E-4AF3-875B-FD7A98E19685}"/>
              </c:ext>
            </c:extLst>
          </c:dPt>
          <c:dPt>
            <c:idx val="1"/>
            <c:bubble3D val="0"/>
            <c:spPr>
              <a:solidFill>
                <a:srgbClr val="176C8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7E-4AF3-875B-FD7A98E1968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237571C-F0E1-4DA5-B8C2-02F76B9F72CC}" type="VALUE">
                      <a:rPr lang="en-US"/>
                      <a:pPr/>
                      <a:t>[VALOR]</a:t>
                    </a:fld>
                    <a:endParaRPr lang="en-US" baseline="0"/>
                  </a:p>
                  <a:p>
                    <a:fld id="{C41DD35A-132F-4AB5-BFF8-4061BF3703A7}" type="PERCENTAGE">
                      <a:rPr lang="en-US" baseline="0"/>
                      <a:pPr/>
                      <a:t>[PORCENTAGEM]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917E-4AF3-875B-FD7A98E196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0246CE-4246-46A5-AF08-91E5FAA86065}" type="VALUE">
                      <a:rPr lang="en-US"/>
                      <a:pPr/>
                      <a:t>[VALOR]</a:t>
                    </a:fld>
                    <a:endParaRPr lang="en-US" baseline="0"/>
                  </a:p>
                  <a:p>
                    <a:fld id="{A8A9E5DC-3097-4FA0-A33D-28B06076C4BF}" type="PERCENTAGE">
                      <a:rPr lang="en-US" baseline="0"/>
                      <a:pPr/>
                      <a:t>[PORCENTAGEM]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917E-4AF3-875B-FD7A98E19685}"/>
                </c:ext>
              </c:extLst>
            </c:dLbl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[1]Output!$O$4:$O$5</c:f>
              <c:strCache>
                <c:ptCount val="2"/>
                <c:pt idx="0">
                  <c:v>novo</c:v>
                </c:pt>
                <c:pt idx="1">
                  <c:v>seminovo</c:v>
                </c:pt>
              </c:strCache>
            </c:strRef>
          </c:cat>
          <c:val>
            <c:numRef>
              <c:f>[1]Output!$P$4:$P$5</c:f>
              <c:numCache>
                <c:formatCode>General</c:formatCode>
                <c:ptCount val="2"/>
                <c:pt idx="0">
                  <c:v>1162</c:v>
                </c:pt>
                <c:pt idx="1">
                  <c:v>29418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7E-4AF3-875B-FD7A98E196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Idade do veículo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[1]Output!$S$3</c:f>
              <c:strCache>
                <c:ptCount val="1"/>
                <c:pt idx="0">
                  <c:v>veículos visitados (%)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solidFill>
                <a:schemeClr val="bg1">
                  <a:lumMod val="7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[1]Output!$R$4:$R$9</c:f>
              <c:strCache>
                <c:ptCount val="6"/>
                <c:pt idx="0">
                  <c:v>até 2 anos</c:v>
                </c:pt>
                <c:pt idx="1">
                  <c:v>de 2 à 4 anos</c:v>
                </c:pt>
                <c:pt idx="2">
                  <c:v>de 4 à 6 anos</c:v>
                </c:pt>
                <c:pt idx="3">
                  <c:v>de 6 à 8 anos</c:v>
                </c:pt>
                <c:pt idx="4">
                  <c:v>de 8 à 10 anos</c:v>
                </c:pt>
                <c:pt idx="5">
                  <c:v>acima de 10 anos</c:v>
                </c:pt>
              </c:strCache>
            </c:strRef>
          </c:cat>
          <c:val>
            <c:numRef>
              <c:f>[1]Output!$S$4:$S$9</c:f>
              <c:numCache>
                <c:formatCode>General</c:formatCode>
                <c:ptCount val="6"/>
                <c:pt idx="0">
                  <c:v>3.7998691955526402E-2</c:v>
                </c:pt>
                <c:pt idx="1">
                  <c:v>0.10775016350555899</c:v>
                </c:pt>
                <c:pt idx="2">
                  <c:v>0.18103335513407401</c:v>
                </c:pt>
                <c:pt idx="3">
                  <c:v>0.19630477436232799</c:v>
                </c:pt>
                <c:pt idx="4">
                  <c:v>0.24767822105951601</c:v>
                </c:pt>
                <c:pt idx="5">
                  <c:v>0.22923479398299501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D-4246-BDCA-DAACE26D8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412816704"/>
        <c:axId val="1412815456"/>
      </c:barChart>
      <c:catAx>
        <c:axId val="1412816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5456"/>
        <c:crosses val="autoZero"/>
        <c:auto val="1"/>
        <c:lblAlgn val="ctr"/>
        <c:lblOffset val="100"/>
        <c:noMultiLvlLbl val="0"/>
      </c:catAx>
      <c:valAx>
        <c:axId val="141281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81670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Resultados!$E$3</c:f>
              <c:strCache>
                <c:ptCount val="1"/>
                <c:pt idx="0">
                  <c:v>receita (k, R$)</c:v>
                </c:pt>
              </c:strCache>
            </c:strRef>
          </c:tx>
          <c:spPr>
            <a:solidFill>
              <a:srgbClr val="1C819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Resultados!$E$4:$E$15</c:f>
              <c:numCache>
                <c:formatCode>#,##0</c:formatCode>
                <c:ptCount val="12"/>
                <c:pt idx="0">
                  <c:v>259</c:v>
                </c:pt>
                <c:pt idx="1">
                  <c:v>1676</c:v>
                </c:pt>
                <c:pt idx="2" formatCode="_-* #,##0_-;\-* #,##0_-;_-* &quot;-&quot;??_-;_-@_-">
                  <c:v>2279</c:v>
                </c:pt>
                <c:pt idx="3">
                  <c:v>2603</c:v>
                </c:pt>
                <c:pt idx="4">
                  <c:v>2297</c:v>
                </c:pt>
                <c:pt idx="5">
                  <c:v>3631</c:v>
                </c:pt>
                <c:pt idx="6">
                  <c:v>7911</c:v>
                </c:pt>
                <c:pt idx="7">
                  <c:v>7478</c:v>
                </c:pt>
                <c:pt idx="8">
                  <c:v>21508</c:v>
                </c:pt>
                <c:pt idx="9">
                  <c:v>33179</c:v>
                </c:pt>
                <c:pt idx="10">
                  <c:v>58988</c:v>
                </c:pt>
                <c:pt idx="11">
                  <c:v>68274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3-42F3-990C-CDB4F0DF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28409919"/>
        <c:axId val="428398399"/>
      </c:barChart>
      <c:lineChart>
        <c:grouping val="standard"/>
        <c:varyColors val="0"/>
        <c:ser>
          <c:idx val="1"/>
          <c:order val="1"/>
          <c:tx>
            <c:strRef>
              <c:f>Resultados!$G$3</c:f>
              <c:strCache>
                <c:ptCount val="1"/>
                <c:pt idx="0">
                  <c:v>ticket médio (k, R$)</c:v>
                </c:pt>
              </c:strCache>
            </c:strRef>
          </c:tx>
          <c:spPr>
            <a:ln w="28575" cap="rnd">
              <a:solidFill>
                <a:srgbClr val="FFBE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lumMod val="85000"/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Resultados!$G$4:$G$15</c:f>
              <c:numCache>
                <c:formatCode>#,##0.0</c:formatCode>
                <c:ptCount val="12"/>
                <c:pt idx="0">
                  <c:v>51.857999999999997</c:v>
                </c:pt>
                <c:pt idx="1">
                  <c:v>47.898767142857103</c:v>
                </c:pt>
                <c:pt idx="2">
                  <c:v>51.784261363636297</c:v>
                </c:pt>
                <c:pt idx="3">
                  <c:v>78.871778484848406</c:v>
                </c:pt>
                <c:pt idx="4">
                  <c:v>71.788251562499994</c:v>
                </c:pt>
                <c:pt idx="5">
                  <c:v>53.398469117646997</c:v>
                </c:pt>
                <c:pt idx="6">
                  <c:v>66.480609075630198</c:v>
                </c:pt>
                <c:pt idx="7">
                  <c:v>52.658844507042197</c:v>
                </c:pt>
                <c:pt idx="8">
                  <c:v>54.590041827411099</c:v>
                </c:pt>
                <c:pt idx="9">
                  <c:v>56.331488353140898</c:v>
                </c:pt>
                <c:pt idx="10">
                  <c:v>54.974637921714802</c:v>
                </c:pt>
                <c:pt idx="11">
                  <c:v>54.445048030302999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03-42F3-990C-CDB4F0DFD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93695"/>
        <c:axId val="354889375"/>
      </c:lineChart>
      <c:dateAx>
        <c:axId val="428409919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398399"/>
        <c:crosses val="autoZero"/>
        <c:auto val="1"/>
        <c:lblOffset val="100"/>
        <c:baseTimeUnit val="months"/>
      </c:dateAx>
      <c:valAx>
        <c:axId val="42839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409919"/>
        <c:crosses val="autoZero"/>
        <c:crossBetween val="between"/>
      </c:valAx>
      <c:valAx>
        <c:axId val="354889375"/>
        <c:scaling>
          <c:orientation val="minMax"/>
        </c:scaling>
        <c:delete val="0"/>
        <c:axPos val="r"/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893695"/>
        <c:crosses val="max"/>
        <c:crossBetween val="between"/>
      </c:valAx>
      <c:dateAx>
        <c:axId val="354893695"/>
        <c:scaling>
          <c:orientation val="minMax"/>
        </c:scaling>
        <c:delete val="1"/>
        <c:axPos val="b"/>
        <c:numFmt formatCode="[$-416]mmm\-yy;@" sourceLinked="1"/>
        <c:majorTickMark val="out"/>
        <c:minorTickMark val="none"/>
        <c:tickLblPos val="nextTo"/>
        <c:crossAx val="354889375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Leads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Resultados!$C$3</c:f>
              <c:strCache>
                <c:ptCount val="1"/>
                <c:pt idx="0">
                  <c:v>leads (#)</c:v>
                </c:pt>
              </c:strCache>
            </c:strRef>
          </c:tx>
          <c:spPr>
            <a:solidFill>
              <a:srgbClr val="1C819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Resultados!$C$4:$C$15</c:f>
              <c:numCache>
                <c:formatCode>#,##0</c:formatCode>
                <c:ptCount val="12"/>
                <c:pt idx="0">
                  <c:v>26</c:v>
                </c:pt>
                <c:pt idx="1">
                  <c:v>931</c:v>
                </c:pt>
                <c:pt idx="2">
                  <c:v>1207</c:v>
                </c:pt>
                <c:pt idx="3">
                  <c:v>1008</c:v>
                </c:pt>
                <c:pt idx="4">
                  <c:v>1058</c:v>
                </c:pt>
                <c:pt idx="5">
                  <c:v>1300</c:v>
                </c:pt>
                <c:pt idx="6">
                  <c:v>1932</c:v>
                </c:pt>
                <c:pt idx="7">
                  <c:v>2376</c:v>
                </c:pt>
                <c:pt idx="8">
                  <c:v>3819</c:v>
                </c:pt>
                <c:pt idx="9">
                  <c:v>4440</c:v>
                </c:pt>
                <c:pt idx="10">
                  <c:v>6130</c:v>
                </c:pt>
                <c:pt idx="11">
                  <c:v>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C1-491B-8D55-C7C2452A3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28409919"/>
        <c:axId val="428398399"/>
      </c:barChart>
      <c:lineChart>
        <c:grouping val="standard"/>
        <c:varyColors val="0"/>
        <c:ser>
          <c:idx val="1"/>
          <c:order val="1"/>
          <c:tx>
            <c:strRef>
              <c:f>Resultados!$F$3</c:f>
              <c:strCache>
                <c:ptCount val="1"/>
                <c:pt idx="0">
                  <c:v>conversão (%)</c:v>
                </c:pt>
              </c:strCache>
            </c:strRef>
          </c:tx>
          <c:spPr>
            <a:ln w="28575" cap="rnd">
              <a:solidFill>
                <a:srgbClr val="FFBE00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lumMod val="85000"/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Resultados!$B$4:$B$15</c:f>
              <c:numCache>
                <c:formatCode>[$-416]mmm\-yy;@</c:formatCode>
                <c:ptCount val="12"/>
                <c:pt idx="0">
                  <c:v>44075</c:v>
                </c:pt>
                <c:pt idx="1">
                  <c:v>44105</c:v>
                </c:pt>
                <c:pt idx="2">
                  <c:v>44136</c:v>
                </c:pt>
                <c:pt idx="3">
                  <c:v>44166</c:v>
                </c:pt>
                <c:pt idx="4">
                  <c:v>44197</c:v>
                </c:pt>
                <c:pt idx="5">
                  <c:v>44228</c:v>
                </c:pt>
                <c:pt idx="6">
                  <c:v>44256</c:v>
                </c:pt>
                <c:pt idx="7">
                  <c:v>44287</c:v>
                </c:pt>
                <c:pt idx="8">
                  <c:v>44317</c:v>
                </c:pt>
                <c:pt idx="9">
                  <c:v>44348</c:v>
                </c:pt>
                <c:pt idx="10">
                  <c:v>44378</c:v>
                </c:pt>
                <c:pt idx="11">
                  <c:v>44409</c:v>
                </c:pt>
              </c:numCache>
            </c:numRef>
          </c:cat>
          <c:val>
            <c:numRef>
              <c:f>Resultados!$F$4:$F$15</c:f>
              <c:numCache>
                <c:formatCode>0%</c:formatCode>
                <c:ptCount val="12"/>
                <c:pt idx="0">
                  <c:v>0.19</c:v>
                </c:pt>
                <c:pt idx="1">
                  <c:v>0.04</c:v>
                </c:pt>
                <c:pt idx="2">
                  <c:v>0.04</c:v>
                </c:pt>
                <c:pt idx="3">
                  <c:v>0.03</c:v>
                </c:pt>
                <c:pt idx="4">
                  <c:v>0.03</c:v>
                </c:pt>
                <c:pt idx="5">
                  <c:v>0.05</c:v>
                </c:pt>
                <c:pt idx="6">
                  <c:v>0.06</c:v>
                </c:pt>
                <c:pt idx="7">
                  <c:v>0.06</c:v>
                </c:pt>
                <c:pt idx="8">
                  <c:v>0.1</c:v>
                </c:pt>
                <c:pt idx="9">
                  <c:v>0.13</c:v>
                </c:pt>
                <c:pt idx="10">
                  <c:v>0.18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C1-491B-8D55-C7C2452A3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93695"/>
        <c:axId val="354889375"/>
      </c:lineChart>
      <c:dateAx>
        <c:axId val="428409919"/>
        <c:scaling>
          <c:orientation val="minMax"/>
        </c:scaling>
        <c:delete val="0"/>
        <c:axPos val="b"/>
        <c:numFmt formatCode="[$-416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398399"/>
        <c:crosses val="autoZero"/>
        <c:auto val="1"/>
        <c:lblOffset val="100"/>
        <c:baseTimeUnit val="months"/>
      </c:dateAx>
      <c:valAx>
        <c:axId val="42839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409919"/>
        <c:crosses val="autoZero"/>
        <c:crossBetween val="between"/>
      </c:valAx>
      <c:valAx>
        <c:axId val="354889375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4893695"/>
        <c:crosses val="max"/>
        <c:crossBetween val="between"/>
      </c:valAx>
      <c:dateAx>
        <c:axId val="354893695"/>
        <c:scaling>
          <c:orientation val="minMax"/>
        </c:scaling>
        <c:delete val="1"/>
        <c:axPos val="b"/>
        <c:numFmt formatCode="[$-416]mmm\-yy;@" sourceLinked="1"/>
        <c:majorTickMark val="out"/>
        <c:minorTickMark val="none"/>
        <c:tickLblPos val="nextTo"/>
        <c:crossAx val="354889375"/>
        <c:crosses val="autoZero"/>
        <c:auto val="1"/>
        <c:lblOffset val="100"/>
        <c:baseTimeUnit val="months"/>
      </c:dateAx>
      <c:spPr>
        <a:solidFill>
          <a:schemeClr val="bg1">
            <a:lumMod val="95000"/>
          </a:schemeClr>
        </a:solidFill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marcas</a:t>
            </a:r>
            <a:r>
              <a:rPr lang="en-US" baseline="0"/>
              <a:t> mais vendidas no mês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Resultados!$N$3</c:f>
              <c:strCache>
                <c:ptCount val="1"/>
                <c:pt idx="0">
                  <c:v>vendas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Resultados!$M$4:$M$8</c:f>
              <c:strCache>
                <c:ptCount val="5"/>
                <c:pt idx="0">
                  <c:v>FIAT</c:v>
                </c:pt>
                <c:pt idx="1">
                  <c:v>CHEVROLET</c:v>
                </c:pt>
                <c:pt idx="2">
                  <c:v>VOLKSWAGEN</c:v>
                </c:pt>
                <c:pt idx="3">
                  <c:v>FORD</c:v>
                </c:pt>
                <c:pt idx="4">
                  <c:v>RENAULT</c:v>
                </c:pt>
              </c:strCache>
            </c:strRef>
          </c:cat>
          <c:val>
            <c:numRef>
              <c:f>Resultados!$N$4:$N$8</c:f>
              <c:numCache>
                <c:formatCode>General</c:formatCode>
                <c:ptCount val="5"/>
                <c:pt idx="0">
                  <c:v>248</c:v>
                </c:pt>
                <c:pt idx="1">
                  <c:v>237</c:v>
                </c:pt>
                <c:pt idx="2">
                  <c:v>193</c:v>
                </c:pt>
                <c:pt idx="3">
                  <c:v>136</c:v>
                </c:pt>
                <c:pt idx="4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7F-4B86-84B3-954CA05CA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08896335"/>
        <c:axId val="408907375"/>
      </c:barChart>
      <c:catAx>
        <c:axId val="408896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8907375"/>
        <c:crosses val="autoZero"/>
        <c:auto val="1"/>
        <c:lblAlgn val="ctr"/>
        <c:lblOffset val="100"/>
        <c:noMultiLvlLbl val="0"/>
      </c:catAx>
      <c:valAx>
        <c:axId val="40890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889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lojas que mais</a:t>
            </a:r>
            <a:r>
              <a:rPr lang="en-US" baseline="0"/>
              <a:t> venderam no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Resultados!$Q$3</c:f>
              <c:strCache>
                <c:ptCount val="1"/>
                <c:pt idx="0">
                  <c:v>vendas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Resultados!$P$4:$P$8</c:f>
              <c:strCache>
                <c:ptCount val="5"/>
                <c:pt idx="0">
                  <c:v>KIYOKO CILEIDI JERY LTDA</c:v>
                </c:pt>
                <c:pt idx="1">
                  <c:v>CLAUDINEO JOZENAIDE LUYANE LTDA</c:v>
                </c:pt>
                <c:pt idx="2">
                  <c:v>ADO JUBERTH VALTUIDES LTDA</c:v>
                </c:pt>
                <c:pt idx="3">
                  <c:v>GERRIVALDO ROSIELEN VALTEIDE LTDA</c:v>
                </c:pt>
                <c:pt idx="4">
                  <c:v>NILFA CID SILVANDRO LTDA</c:v>
                </c:pt>
              </c:strCache>
            </c:strRef>
          </c:cat>
          <c:val>
            <c:numRef>
              <c:f>Resultados!$Q$4:$Q$8</c:f>
              <c:numCache>
                <c:formatCode>General</c:formatCode>
                <c:ptCount val="5"/>
                <c:pt idx="0">
                  <c:v>18</c:v>
                </c:pt>
                <c:pt idx="1">
                  <c:v>15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2-4897-B44C-C8D449613D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08896335"/>
        <c:axId val="408907375"/>
      </c:barChart>
      <c:catAx>
        <c:axId val="408896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8907375"/>
        <c:crosses val="autoZero"/>
        <c:auto val="1"/>
        <c:lblAlgn val="ctr"/>
        <c:lblOffset val="100"/>
        <c:noMultiLvlLbl val="0"/>
      </c:catAx>
      <c:valAx>
        <c:axId val="4089073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0889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Visitas</a:t>
            </a:r>
            <a:r>
              <a:rPr lang="en-US" baseline="0"/>
              <a:t> ao site por dia da semana no mês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Resultados!$U$3</c:f>
              <c:strCache>
                <c:ptCount val="1"/>
                <c:pt idx="0">
                  <c:v>visitas (#)</c:v>
                </c:pt>
              </c:strCache>
            </c:strRef>
          </c:tx>
          <c:spPr>
            <a:solidFill>
              <a:srgbClr val="176C83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4.839053654878505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FE-4FF5-A2FC-165A54A626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Resultados!$T$4:$T$10</c:f>
              <c:strCache>
                <c:ptCount val="7"/>
                <c:pt idx="0">
                  <c:v>domingo</c:v>
                </c:pt>
                <c:pt idx="1">
                  <c:v>segunda</c:v>
                </c:pt>
                <c:pt idx="2">
                  <c:v>terça</c:v>
                </c:pt>
                <c:pt idx="3">
                  <c:v>quarta</c:v>
                </c:pt>
                <c:pt idx="4">
                  <c:v>quinta</c:v>
                </c:pt>
                <c:pt idx="5">
                  <c:v>sexta</c:v>
                </c:pt>
                <c:pt idx="6">
                  <c:v>sábado</c:v>
                </c:pt>
              </c:strCache>
            </c:strRef>
          </c:cat>
          <c:val>
            <c:numRef>
              <c:f>Resultados!$U$4:$U$10</c:f>
              <c:numCache>
                <c:formatCode>General</c:formatCode>
                <c:ptCount val="7"/>
                <c:pt idx="0">
                  <c:v>67</c:v>
                </c:pt>
                <c:pt idx="1">
                  <c:v>1301</c:v>
                </c:pt>
                <c:pt idx="2">
                  <c:v>1238</c:v>
                </c:pt>
                <c:pt idx="3">
                  <c:v>1038</c:v>
                </c:pt>
                <c:pt idx="4">
                  <c:v>1076</c:v>
                </c:pt>
                <c:pt idx="5">
                  <c:v>956</c:v>
                </c:pt>
                <c:pt idx="6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E-4FF5-A2FC-165A54A626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428403199"/>
        <c:axId val="428397439"/>
      </c:barChart>
      <c:catAx>
        <c:axId val="42840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397439"/>
        <c:crosses val="autoZero"/>
        <c:auto val="1"/>
        <c:lblAlgn val="ctr"/>
        <c:lblOffset val="100"/>
        <c:noMultiLvlLbl val="0"/>
      </c:catAx>
      <c:valAx>
        <c:axId val="428397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403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Estados que mais venderam no mês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Estados que mais venderam no mês</a:t>
          </a:r>
        </a:p>
      </cx:txPr>
    </cx:title>
    <cx:plotArea>
      <cx:plotAreaRegion>
        <cx:series layoutId="regionMap" uniqueId="{02A53EDD-DCFC-4A88-B213-71274D6215FF}">
          <cx:tx>
            <cx:txData>
              <cx:f>_xlchart.v5.2</cx:f>
              <cx:v>vendas (#)</cx:v>
            </cx:txData>
          </cx:tx>
          <cx:dataLabels>
            <cx:visibility seriesName="0" categoryName="0" value="1"/>
          </cx:dataLabels>
          <cx:dataId val="0"/>
          <cx:layoutPr>
            <cx:geography cultureLanguage="en-US" cultureRegion="BR" attribution="Powered by Bing">
              <cx:geoCache provider="{E9337A44-BEBE-4D9F-B70C-5C5E7DAFC167}">
                <cx:binary>3HzpbhzHsuarCPo9JeeelRfXB5ispTd2c7VE8U+Bkqjal6y96nXmUebFJoo6tslWX/bR4GCAuTRs
sruWyNi+iIyI9H9+Hf/ja/b0WL8b86xo/uPr+Pv7qG2r//jtt+Zr9JQ/Nh/y+GtdNuX39sPXMv+t
/P49/vr027f6cYiL8DeCMPvta/RYt0/j+3/8J7wtfCovyq+PbVwW191TPd08NV3WNm9cO3np3dey
K9rl8RDe9Pt7XT/Ocfb+3VPRxu10N1VPv79/dcv7d78dv+gnou8yWFfbfYNnLYw+0OcfRN6/y8oi
/PMCpx8IWn6keP61XP9B9fCYw5PnV/K8jsdv3+qnpnn3z99/P/dq1X9/HTel84Nlp1wWqG+eOfrt
tUj/8Z9HXwCPR9+8kPqxQM5dOiH0ZhH647c8Lty4aev4a4t/f3/7v/9X+e7qscvKP0XzQyGv7vtV
hRD6gVOqhLLtH3LHr/XCxAdBbFvYSP34sf8k/kMv/9qiTuvm5bOvmABer96fEMuzLf7/pLKbuHy3
qh+Lb0/vvpXvbrsjV3rF9K9qjqIPiCpOFGjklSfhDwQLReHiSU/6pTWdVtyJV7xi5ff3N7f/LfS3
j4vH5t3qqX6Mmz/t/t/gdFh9UNgWDGD8tNPRD4pyAffQH9fpn8R/ON2/uqzT2nv99JHi9qv/Foq7
fSzax3fOY/tYgwr/lN6/QXVEfuBK2aA6+PX889r7mP2BM2wTxE+r7l9f2GnlHT9/pL5b57+F+haA
AczcPhZPcf1vDXfkg0JLqMPktProB6yEpOpHMoLQkef96ws7rb7j54/Ud7P9f6y+/zqL+SuNc8GJ
vOf870Ui8/bVZ94hJT169FUa+YrzPx108+3394KpF6FwecWrRPB/fq2ffrr96bFpIbsUkKxgpRiW
GDPCpQ3JzPD0fEkCpAKaEsaVxEJCwvP+XVHWbQSPyQ8YU7T4s+Tc5opCRG3K7vkaxh8wkxTiqc2k
4ILwvxLuqzKbwrL4SxT//Pyu6PKrMi7a5vf3UsIKqh/3PfNGuU2w5MqWsECmILOC618fbyCrh9vx
/whH2aZqCJHbJL3JHtGEM3eoTcHditC+1Cnvpl6nnUzcqmKVEyRxvFdNlG7LXrVXqUrNfWByeVnN
9qirnFq3TGWx7spsyPSowiR257FrkDOnw+iHVRasTV31uqBWe83VKLyKqZStsOzdIO43TdTWhS4t
y3yq5qm6V6UMCzejBgkHZ7mtZcayb/Yk+NMYsfbQDlZY62HE0VaaNl3NLAiuMjnNiTNUjdgznEpd
RUhKp+TzoIVgqZ8Ns+3Us0o8knXTqmrnSluTyLcl6/r2AqU9uRiSrr4e4ilyiixJty2m4jvviz52
DAvUZZLydNVkuI40MSS7SCaLbTLLhBuOhz8IlajRjObBJ1LZwUXdiXArE6kuirC+i9sk9lBv6DYt
U41Z3q6teY6v5nFKt9WEoxuTZldh1KReRevwUPUx2bO4bz4FZi7Wox3LzWSVNNQjouHHhhdB7Ew2
p64UrbVqxxTdVW3KA50q++OQ9JU7D1PlMVama0Iy442lFVLddDzwZNGHtuZjPumiK8NGW2NLnLiL
pn0litmTdpk4ZurnTVeEyst5mmxMhG/6KdvypPjUKqxtmlwldhfrUA6BQ9Kq07hosTMz0brxxG2H
EZysphgFThxC9qjDsRp9UCXRM6LZNmyLaDfnyDg2BFCtSGx8YmbkslQYdzKi8dvWql1ut9QXozU6
tSzJJkrj4stsk86bM8ORQ6Nk1mIai16zkWaOMDS4LCp2g4uYapuVesy5U4cNc+awMjdTjUJ/TtF4
Y82BXA+ynRw6Ar+pyJKDjO3e6xQV10ChvLE6Mrppg0Ofqqj38rbK10mfMm3svnR7MK72Oh/5YPvE
5kbzuEmFTmSU9dy3aJ5O26DDbfKQ81Y1zOuHQcX8EDYkELMO64Ln69zIqJkcFqmUMj81YWwPOiE4
6i2XzSYq8b7ClpWNeiQFrUWroyJLh/Zmivtpjnci7cYUXyUiLjaDMKFLm7R0q9qUuqqm/sluFLwo
TJlf5028C6e+/Cai2fwR5GJ0UTpNm1pN8X2ehEmuB47UVc+D3GlqEFZk+jDXJooar7Pt8iZrksof
WUoj3U0BXeN6EBddlqWJpthYn2e76nZhRlpHjDS/ykaSHRDH6ecskGpVBEH1pSCVWtVVIPezaWbk
cBKkq6ik0c08hqbXvEqjWBvThHf9wPKdmGtF/D6yAaSGsTfabjtBHKBeeinrxMGuguh2HDqzbkSt
gP1q9qMww67MVGG5WWEX3pwwvk36SayJFbRXQyBprkN1R+3aXJCoynKdRLZKdFB35jNHWXpjK9w6
0vBUj3ZLvnEZTx+nNLOxtqLGXDCKr+eCRl7egcMImZDbiXf5jWxmeSE7VHpxnNArRDv6SZZzwXWG
croeSMGHLR7rLtQprUCORROx7xHB5K6uZHg5kGymTpMU8afRspqraFDdqFmL5S1iceT2eVwDcIUV
/1hE5aqsTTW6kkT5iiRj4mKLDoWOrEStKmnPeppzWmrGed/pkCTC8kpkNYdIRhEgZpZej23eazSX
kdJlOKFQT5YVO2HBotQN0mC+NH1HSpcZNTkxFIVCHckhfgiDwGzHthiFDssYraNwnJ2myAR8Tlp2
R4JGPeZF3Ac+4bTdo2Dit8k0xms8I3SlMpPdzpGi27iP2eNQK3ydS5vvxyYjDo4mOeuxaak7ykJ+
NwiWo62y6q+mjhNPJHG6T3Fj3ccW4WYVj5Y8DJRPPqNjvwEsohkA3dT5chLN9YjNqJE98l0MtvK1
NKJejZNCxoWlCl1EXZwnLmsqukF91bksaystKO11Q+QXJFp7ZUI0NnqMoxZu6ePO7SBUuhaulCai
jFwmWbVOLD64TS/ar2LowgsM0VKPhtqHIiiSQeNEoQPO7XnbZ3y4lirNWj1aQeNHQdI6ZUCxZmGb
31gKN94Yo7DTdRx3m5ak1lWL7aR3akKrJ6RQuR6baPocoDrfGwpR2qmG0N6nBS/27VQMfptWceKo
3BajzoK2/aPP5jjS3Gb2Zoia7FPQQXTkLU4r3VmSrya7iG+muURXvZDVqsNR6tmWqA8APdUOVdno
WmmTaaSKpLHcWiSz/KqmFotNHQn7MZIdBPgoQIdBSJBqnmZocpVChdtaDXvsStqt8iypXBXI8DAm
kbXnk6odVFVt5BpVFN/yLhs/MnDqVRRBUHOSUAafh7QJVnk+77tK5OsxLxw6YCcPTKxLkje5Y/ds
axC5VClXbjWMn5soaLYpZvSjVH1a6q6x8SeMcOQMEIXv0VihL8XIiDfjtPsDUM8c0jiwN5UdzlfE
yEpH0VQ5WOZ/YJEcDK5CtxkV31Ucpfu8rlq/iek6K6zb2LZGtxVj3PlZVGzzbNBBLPC+m0jrjqRr
fRayCJYA8nQTETQ7FIl8FUpjVpIXmZunI9o3A491Y/LSNbEtNuDDSAeUROsE1WIbM5Y5KY7NJ5tj
7NSIM68QeLqo06Hc9shuHIrbYDU2VrKOkRX4AUb8Nk6E8iBMKWcSdL4aUjxdVomKPuVDVR1UPxS3
OJmLFVdZs8JplPh5gSd3EEHqd0kgtlNS9pdCyfjA7V5jLDof/KzunCRKdILpXUyxZyA9mOw00nUR
7cu22Np55MXp7PPAuP1gr4tW6Qj1uq8fKvqE01ZcVr2tZt2RYuz0kJXDapaiq3Sc0+AaozT81BRo
NcmpcQdMnjqbk88lK4ZDIEZId/DcR2WnZWmhwbpgAUvxPgfDG93akHh28uxJSaOeaNAZB7PWzG6B
WnggrNGhVWXsWCnhkU5le0GqBvyyM/Vd1lTMHewwSnU5R6LXQxBEj31fzZucl1yHBjzR7aYq1zhA
n8qyDlxWxrM2pBv8ECWdnpMxsiBVJYOuZow9ko7WF1SmjWPoaLygyQYP5zHyAQIy3TcjuQpl7Jck
iHUwQuy1kim9b1DeelaYxrpiQbyFBHV4GDrU+3XZEYcjwb0w7opvLZLBOs7b+VCEvXCqYApdnObC
s4aGulHBO9eapgrSuLhR+zqdQ79FeXltIxuy1z5JV1mg4i2zwmYdRUTdqH6aVjWY60aMM6SFrHPj
UIxbUWfUEWEq3JF2YiUmam0Ry2q4JcO6T9jgdiMmbpzHoeZlmGjTK7wzJb63enGXyfCTFU6zW6kl
z6xS4pDA2tFuEBqL6Tqgg3EMoIoe6znXQVTPrrHwdNOYMNSqTSI3jgvLG/oy9XOr+jgPReBmIWi0
KCToLKmpzuL+idI68hpjYjdmw94K5a7qm8SjxB4cyKlCAMPmklHIz2QcJJrP4gC+ckCy2dB44NqO
mtBp+VzolkFUq3n8JVEdQPLQED+p4O4qMxrbFfrcpvlTFed/iEpdTtiUaxNmk4Pz3OiklKNboYzp
oEg7+K53eRY7s0jpNggn2KskZfcZNUH51OFuTLRqLLxuLCacLMOTIxOUeKqAoJDX7KGtVLlrsjD3
qVVIn0pjr5I2yW6KMBydqUG1x5P2rmNhfKD5aHxTspW07FLnU97BtaFzGiYv4jngum/xPaHhoKEO
nwAoF3/Mdb+pazD5RBB3sqZGZ1mQuqY1kdME8bpUXeoEWGWOLUFumAS7NuP2TVaNoW94W3iWldSb
MeXFdmojtYkV7LYqiCqrlpJJt1HGtnOUIT9pi94birF0+tbCYO7NpIlM21shynpjZbbuomRYVbUN
eXjUXdm5/FgmOHV4N6deKAJtN5kb4u9Ts6ngOT3KrL/r5pWNCuxWYdbvKpm0HqVWritxlTRV77G5
HtdhOzttF28EuxjqfIZ32YOP8u+WHWrUHdJ5NFuIuv26qMfsVs1JtGFMoM2g5rDX+YgbCPOQ2Dks
sMnmZefm1d78a1lNdRxG/+yH/fXxH/s/m2zP3Zy/v186an9/uuyf6rarn97tH6vmnQ/+/dxnO35m
KaX89dDfDaKlgPFXt+ioIPKjS/dfVEvevPiqlPKqt/WyNkKhifZXf+6nSsrrltpSnlju/2cphdgf
loIHswVBAqLaUi85X0rhH4hQXIIRQwkNwQ5d/l1JofSDhBiJlxafQowo+SuVFP6qjsKhzENtqNdA
bYZQbDO11Fle1FGoFRYJCetJgysARs7QXq1XXVewchvO4Jf+C8mcKNz8TI4xamMgRSjDmABfL8lV
lgy6FLBJ47SZ+LcxSzHEESgDWOw2ZKqev75Nj/3EHuOISRs4hLSQL3J8SQ/FRVpPGaTOxkLFTQsF
qjsTiwSK93/p+wRXDB3RkQTUKymHDROoWWAbtPySDnyFLRzh693m0r9cu76vtb/b+77r+nsHPu9d
+K/rOnoNf7n7nb/RG7hnv4ePW9eFa2t3C9e8LfwJd/ubzaW7hqt7eHgDtzrOBt7mrzS8El6/3OKX
8Pzmzr/cbOBtGl6nveWyv/GdB7gFlqCd5Rv4Gz54WjtrZw104V5449XqEl6/c1141QN8s/G058Eb
79293mzu9MZz4BnP8xzPcZzlNg+eh/ctL3Mu4I89cAIrulnIr9bO9qO3XW71thvtOQfHhb+B6/Wq
BOYdWJ3vrS8cx9/s/WWhsLYVPHnjPMJb13Dr9nC7Xt8uYgJBLU+7+32uF7K3Dnz9tsrIGY0p9Fpj
eVI3DCX4eu9fPmz8O2DKcx6d9da5PUMJi9c2eGwbxy7WNjXUEsA2fPf6/stlqC+19/ngIH2GDl1W
/HdJlP9EB0DopQ02pqlgSwx0QEX3m5sb0LMD8gaVrHd7d+c4u7dFiF/XYH8mCDX+lwQD3JpkBoJ7
9+EOrAX0dIYAPSe6RYkv0KkhlQz6GChc7/zdYtD+/vkf+H354INvXIKt7h/2/sP+0mhwnP3DA+hS
X6zAsDY3q81qtfJWqwt9AAvbOrs1mPPni4tnc7zQzmEN+gbPA7dwneudo8E/ve21s9uB9W3X6zPs
nONmAccX3DDYdQcJyMu9d+/Ab0Bi56yaH+HrTzawLOEFiRmQvOBAYuc/XIYeuCW4++Xi8CC2G/jZ
6BX8tXh1qIHD7fd15Qz6u7ter78P+vr2nInwBWDfMsojAM5bKLHmi1Febu4ufef7ehNrf+UvQt/7
gHHu7X6BSVAMKMLTgIHO8tG99O/cu83N3r0vAdtW+n73xYcXACuXK726u+pBfC6gyM1mBXbnbcHO
K+0dHhO9vQVVuy7R7jUYxIPSf3gHQBLf1WvXuwYc2u4XgHlbt3yx9bf4POpHpKU1UgyWCoC91/eA
ub2GdX9e+frmBzIDewCiO8fd+bAID3D37RVQvMSYt5ZwFINmOQ3TsIj6HuB9D1LYL7i2v3UvXWe3
2QBarx/AWwCsAfEhSqw8zwC8+j7IHELPeokC7j0ox39wN5eXANhgN5c3odafwIp80AlECW8LXngP
qL3Vz1i2WW0uNzdPm1A/3Swv/XJ3+RDru1l/CfUGwA5w6PIGPj49gTUC5q+dwy1gLPy+Xt96t+vv
DkD++lbfQRQZtQ71Clz108Xh8OmwXXt/bLbrb7fXECmcawgHjufduvrxAgLR+nrn3oKLam+7vQDM
3q5B9C5I9VnMwPl3EDcEV6AIsWW9h7i83zlr7wCu/nzjx1v4egGFW3d3fX8Phuh8O6ORt/0dOqGv
ndEOg9KSEGIgSu7gX7Dd1d6FkAeurx13+yPIOWfsAPp0b9oBlDNfk017KXvYd4CAFkPfX4L/g6st
VJfobTR4kf6yxHqAS/CLjYYbAR38myUqg6JB8fDXDTyw0QdICHz4a3l2s1kd4Pf6FoTmbp3r58QG
xOovURM86gCeu3lOF9bbLTjkYur+YoOX/gKnkV6DCYH4Aa19F/B4t6jRXd/vIdNx15cuPPO2Apbo
8LdDCGpDPmtDm1AIIqREcrn+Agz7eVYh6opG28Tq3amtekdS1npvU3mt5X9SoZD+wbiCIoQceX4Z
NFVg07yBzXKivKCzONSRxuwBisnGjVNlHd6m9zNXHEHyj2yYeoFKp1yQ6AVXGZ6hLzrate5qxXxo
tIw+tGqw/nUqlEsJvV/YunB0xBXu7DipUVDrhEXkE4pNvmmrcT5jrD/Lji+zV1zCJgTS8+O0uTYZ
ilqpaj2mLJJOpEaoiqU1550u1VQ2Gpshunubs9chctEXh9IhJ1Akgn0UWQYkX8pPFdRUeT/VujQF
2SLLcLdv0mSPOlucYe8EKdj5wT5HcbqE5iMhkipHZd6lQCrrK92rYvaruKugM5JnMMHw1hbkhCSh
4c8YkSBGCTvD11xxaHnaVpHXuo+bZNNB4XQtYPt2wUqqLoe6lOu36Z2wwpf05BG2TW05l6IHenWB
52qd46CyvKQX8Rk6p0TICVaYQ5sfds9HIgygzjjFJbQlodsS9U6SzMnktnE3P9CwN2eInRIil8KG
0RaKbG4v11+4ljK1sJtkMjqcSOp2fU0OkRCBw5k9uWK02RmAOsmcTaUg4GdciCNX7lkX2G1MoCKX
dUxzlRAvbonUYTyHZ/z5FCmBGJXgzRhS96OggC3OU2tERkPrOHNbkolDk8xEqxz6+m+bxuuU79nB
xEtSRw7Wz7KqGwxc8bm8jCIZrux0Mh8lplC+Yqn5WNvd/dskT1njS5I/CTK2RmgOgCAjBFWuOuA+
zAOHZ9z5JBXMhC1gow9zLke22KgKCrtWVOsqVt1VWkJh2rILevl/wQsYOzizYDB7c+RZAQ+YiaD6
r8smjzV09YUf96U4U7I4ZerCpgyKUlhJaGG9NvUaWiJ1bITRVg2DAo6tsnSbiTz4nldNdKcAr9oz
znXSAmEAmkHGQgVjRxQTK8rqWFADpWkpVlnffeaMfYEZFOn9ugAlYogskcsmclnICy8WHEXhwAEy
osCSzpA3NnRDcXvGoY52v4uZQ1FHMRuGvsUSSI4QN7LsuMt4UWtDoXrfFHRw+BwlXlVV4aoYSgo1
XL4KgjRdUQ7TPtBSKKDBglh0BkV+NksBriMQIRw/pyOv+VVxDhvLHqIMjK5k4rpoWNRsItrlzRkN
4sWNXidUQElArkOozTk+Tj3GJrQjPJa1jmIYpEIZ6X1jKnpX9vU+FNa4rZuq9Oq0xJoCfQfGgiIH
dNDiVm26yTJnUqGfkQZm1GBEDeqghMGk6JHbDxPkR1Y/Gl0he6B6CFUuNGmHkLoDCgm04+pe3DRd
m49ntP+zzIEygdFj21b05/RoInTMOwyRYqQlTGSVSerMtCvOaPYkfy+oHJnY1FdQwDcA2rCt690O
ZlKcwQTWKmcw4qA+l8lgfhnigC9QMAhOSIzUEXbbcigoZJRG08muHUuNzOlZW5yR3s/gA1QEDPba
gmKoih/F2QLahWkjW6PTUImb0p6MR9MmWaEuS760cT37byPCKTmCyS4nYjj4yTEiBGkJJyI4RCSR
DKxye2NbOxKg0LHtvNmTflLQ6A4hCzzD5zm6R3yKLhwNdLOMzvKi3iVDWW6qqJv3SWfVO+gJMwel
CT4Df6eEu2SbCE4ucMnoEfyNlZ2brC5AuDHm963VjZ1HVJ+shkIhGAsorPbT2+Jd3vgaFtTSkKAU
tkAQFo9zwQ76cQVvQqP7oClcYUzt0jzptVWMv552QioNGYygHEGbmB95RMpmGMcUrNLT0GUeSmfo
57f815NpBcPnkJBAIggT6OxIb8XUlCUjE4woyWpY0ZTlOk3kNTIpTEDV6Ix1nsCSV9QWK3oRr4aQ
iGYUgFYozgLs0Bj6lE5A6nk6YxlLfnKkJym5RIt1MGgrHeUv4MdxFkUwMpr1qNlGtpWvyiJH2zLn
tldJ0d+Ng2Wl0HcdouHXXQGO0UC3CvJr2JDTIyZlOtpz2kL0n61W3cLQI7nEiHROBbNPm7IWcwLD
rgE/w/EJy1wm0CFCECnAbo4CBOxJREvxAKkoDjpdUZXpCieRjlFv/TpWq+e9MoZEXkF4fK1Fu2qm
hsFsJkzWlf1OdKbb5LTlMPmiyLoNZBvpzDTdGbGeUCmUOKDuAIkIzJA8dzle2E4dGTLDgUjAa5gn
DGGGILbdIS6bLYdRpcPIykQXtoLpDRhRO0P6J7Ndgq5glMAENoSM58rvC9I8GIrKGECUMLErTVBB
fajF9PtfxBagAtUHtezJIN06xpY6GGk9zGCzc9ziEgbiktmFLW62ppUsLt6mdYojQBdIP2GsHEYj
jzLUlMUs5hXMzaWqGCttOmt+6C2SyTOm8pNVLjwxSkFlUBkQxyAWz0llDwimhWCodHKbamI7lHX5
xsC8+RlsOUVKLsejqFgCrTzCy3YIirLMcyBlYHIFyh6WC9Ppn6MSTWeSw1PCg1wIXADDeC2WR+Bi
cjuKR1JVumYo9moLct1oiIz3yypawgyERhAezL4fbWObUEYKppgAwvgM85CiibQpc/vXFQQJ9VLP
Axo2Oe7YTTisSALjLTBJDLO6FQCVV452ch2YcP78NkMnFEShSskZRBzoIT/3FV54kSS5iWBSqtLM
dAFMPLaNk9I+caAkcqYXc0JBrygt119QKsrJBPOUVFqJ/qMtC+oVJKjO2NsSGV+FGAVJB+woAf8A
d6HF/5oIbkeYAMRWCWNRJbowyWhuczqUGxVyNutyGMfV2/LD5BRFTIiijGGgemThs8mSbDBAkYUK
BGhgRnEsChj5UT3JdMSDaF2MfehNMYfhbWTId2uytnD0oPIjOqQ3by/nlJBBkYLDhAPCMFLxmv+w
yPLODsByYGpzdq3KSjwoETz9OhEJR2iY5LD7BCR5TUSYYY6bisOhgLgmcIBiSOC0QoNUJc74wSlt
SgXTDpQowA+1GO8Lk4GxxALRCYyzSIoRRiap0DCv6GMOk0atNZ2hdkp2NkxKwKEeBkfHjlOEbmzE
mPdlpWXLg13aT2ZTAYq6vy48GwoeDHIgyCOPC9sykzWdQkDEpMnri7KLcg8mMuMz5dgTvIDYYBMF
iAiKOpZcWpRWquJoyVNldMgGxRwc8+hXS0Uw/4OgAgGwAXsb+7l9/kI/9txbrbXYfhrTfJ9PI3Gr
oLDPYO7PlY6FDMwHcQm9FNi5Lcy+IJOLueQol6VOuiC+sCab+thk23LgSgvUH+yB31QWCjwTyWAH
9e6tUFV1Jr4sCeIRsoB/Yzg+xqHaYh8nArNBnWrDDBIB0RPstWPUFFds5Ki/4N0wUGcc4PzWpu4V
OVemPeEGsBuAWSxCBYc068gNrDLiqMtVqac8oakTIQEjxlV8QWHQ1OmaAP77yzYKwYdADRr+lwIg
9CNM64gc8xkBirAoijXMwta+zOdznrAs+7VEMagUKmRgQc+HpF+rFWrO4VhLUKuI4tDJbFlupmKW
GzglFp0xoZ8lCKRsCmki7D8IOt5QAVYKVHOQYJny2HKnMjM2HNiI8B+qofxbNORDcMbPFxkdcwee
t1QaAb4YTMm9MtooNRyO4sC5karI4eyQMvyj6Yb5i+lk5mJckC9QBhl3VUTLdV6T5uFtFf5srphC
AYXATgcySUC11+TzwqCwH7pSo6wO3UzIb1ktH3gBBSo4JpDrjp3LKn+GnIUibFqhmwZVVnrkpc0Q
JzGBQV5dWAQ2rabr1uAqxRlN/rThUJgxqN+CI5Al9hyleSRpYQqubEtdJ1Y9O3DgIr4385QzF45D
sSuT9nOsUzuCmpHMMjgT9rZYT9gsjIdDOgs5IFSPjucH6xkGZwtob2srC4zPw3RqHRXg6K5sapqc
IXYC+KBVAltlKeCgBaDfEbOUWCkb2v/D2Zf11o0zTf8iApRILbyVdBZvie04XnJDZJVESdRCaqF+
/Vua77uIjw0f5LkYIMBMhkcS2eyurqqmOPihuUVcrB48Kaps4gOUWdwUwZeKNSiVFzkbu/ellFFC
jOm/FgPX3Zl66503j34sOJqwEPE2/e3rHeXXMDhZ+xnBvi9wXKfR/phD5POaLiKpnaxuTPzo9Xnx
z1cZXgLa6EDOwNcMwpN9RRtRB32HnRw4XrepzSVbD2LySnPmdb/3bTc9rwCSBCibb//+72tGayXB
PG2T3Izy6+QUi3bOE+Brl3yMzuSN7y0mAFsBgRQU/5y8Tct9vyAWwhpIPell57Xjp1lHJJvCdn74
eM++E/zCbQmKhmKEZh97/Vye5IGLNJ4LOlr5S1nPfY1tNB0qXddHNDSLp4/Xe+fRgNGDdQwNth+D
KvB6vZqTshldi7jeRnFGCjQwhwE6rBZ/598/WYyWM65EPBrQ4pO9UYZNlxur2kQ4PuTQro6jRNtP
swvP18ACP36wd2JqjJyKb1GOboDj6wdTiw7rfCQ6gUpBpbItjEpIj8ZfKmPj/7JumOihx11zpnJ6
b13AjViS/UcmOdkro529GsJorDtrIDjLWPJPvkOjcdBl8XVueXsdTwU5k9y98xlBUEAKECH5wh9O
jsMUTdBXkxyhzgIlkBqnvKv6No0iE54JLe/s0BhxLgAxG6gx9P2vX+zK5jGa5qZNpFnXtB5X/+DC
KT6Og1TZrHNyBmh579FQVm/tk80uID55tH6O8n6JIZdpDQ8vfLL6WZMH7f0al/WZHbrtwJM0IEYW
hV5DBDo9LsjXj8bD3re5kzqheVl/4gPgI8hoi/3HO/PdVXDvBn6AbqD47yL5K3TRpoNqKUA06RVE
6r2k8VVBivmfsTAPTUcgEjFA3MCPtlL4r1VMgdZb6DqsUgdLlIKJXrsjh4AfSvMgpv2ZEPnergBC
tdUxSCr4ZgLx93KUruEwlohbxNovk13vmraHDwHyqSTqVX/mQ7232mYpAgoVYGLUda9X67RRIetw
uAfX55e6HNjeVHl0QZelu1rndTzzdO98MkRkINGCRlgzOImSVeRDZglRQDJPHWT/a0H9KctbT57L
It7Z7FhiA8aA0XIqth/y11dbOu4VtsQ5XqYparIG3IEsqtq4TMpSDl8+3ojvvEW8RLQmQVIQAu3p
14vJxVu0zWOdhKIIdIaf0//UA4ejgiQAcoH88+LfoyNubKClyEnQHT69ttc2bpYCsv5ETaVMK5Jn
fFMDwqOB7LgcIPlfvDn7+DHfe6dIqoMNgt5wpu01/PVOC6tI1xCOHNPUlz66ibu6YRCjc/8cwH5u
pe1u+GulsAMtDKwgnXSjhcsHQrWtd9pVU5eWVYdP+fGDvXPViGhrjG65Ce6Ukwdr7BDXhfGg31tW
e1hdQG7XUIqsD0y/I4twMAsp5dP/sGi4hRUcB1RLJ4sOjZi9MmY6MTNeYgkqyNfGhV+LUA97GvZs
P0Pef2bNd8qzzf4JEZOiqgfm/vq9mnhtjWJwTEGl5CU5dMeiW+onJwsFI0fWfAsaCtsMQocLf16a
M8HmbS69dYUQQpFRw8Lm9PBTDoUjq2HYMUaLdwcVr0vqYsi/E9mPN2tM5M7I3tyQzpy5+bbz9/o6
2rYrTgryaAAKp9eRtlyUFvhkIuGD8RktjXynmPLvPv6gb6MAqs4IOCRoZcDRTu/XKdJjWfqQbCOh
Lr7lazEVmYVLpt5zubTf7Bjk3z9e8e0L3epcQGrw9vHRlj2JO4VtSAEdPzSbtmzmpC91cCsge8yT
AW2VfcDgHRHpHBpq2Ul1jrXw3ur/ZfFewKMtz369mSbS0tLjSENp1xV1FhEcTGD3bTGnYq5LLym1
XOesW2hXHQEWe78/fvq3QYLhDoFOD20J5gMpfb1+iI4E0mQECX+pGKSk7HvV8fngF3G8/+eVAJEC
GUIr5z+A/fVKqB18sda4JbUUkc70Gs8uERV6+vtwClxxJhy9PaUM+wiE2Y3uhsBw8mKNIpVarMF1
AvOdX7hAsmpWFTTaEgic1e0hb1z/0s0wW1CO8cePH/btYcHqgNJjJN+RB0Ds5GHHEL4wBquDOaau
vC6kCYx7/H8+ktsqMRr96PaAYnqSCOCExGBpw3AE0La4VI5/muKFXPwPjxL726kH21Oc8moMuH4E
rDS8yHntbkFKlw5NaDqd44K9c/IBbvuAKiMB6uBpOwn906CZ9QifIsqDTPSQOgqvyeGOEy2XcWzJ
P6ek4MHRrdkRQUn6hhFmct+1/faJIKJmu3qK608BcK9dky/89uNX+N5eBPOS/j/A8j9Psr9v4kaV
FPWWw50fzeaCqp6nABOazHdzfdGZgV726LffBYPqXqCD684chXdiDNI4vFKgTiDEn3KDg7qaQP1A
8i2XnPhJD0Txlsd1BBxziYYH3ycBfH942T/wMnfDmYd/mxcgw4KEdWsbxxz+aa+PQkvWDi3lGn01
uJu84GOU8HzxcRjTETZBBlTHqrrPyRL8DwEHC4NfgI+MsHOK/duyhIfBhCIAHgEmJfiFF1O8Fs9e
NFZncteT446TJ8Do8SIUAIjhyOxeP6OcCt0I7sqMzibIvHiz9GgndSaCnoJ6/38Z2NMBRcShP63V
4NDX0JKxMlPoUVhRj9mUr5ulkCJpHxr6Cf1EfVkxcisXuex7dDvv5Gj/cTu/+RknwY13dLZIbuH0
MAxNsgTRcEBiOB/aqGFZJdZdGzKb4DQDeAOZcffxYTq5sf5bHQQ/MFY8IKlAcF6/66Et21JFY5nF
eT5eBn3odrDqmfZtOZ1rM7z3Wf9eajvXf2fQK4tc0ExlNgpR7iyr48xfTHvms54Evv8eSGzAcIxs
DoXPyQEhU1EFRQmjDVkO0XxJwYKVqXFdNVwwB9OiL1Fn5T9mc9uiYNLjNEJjDl/n+CSJZY73Q9CK
PJtlkd8EoDdlG3J1Jll959Ei4Hk+ZBDQ40SnqfIIsYgkAJgysbi4uRq9mlVHy5rIP0Kub6ABijpE
/I83yEnA+e/R0LrcmFpYG8XI66/WykgWpeNl1ixUSTSAuxG+NNFqZm9IqiVaRGrjYpoP+dij2/7x
4m+2DPr52PvgRYBsj1h7ciUPk404kZqnQW/zIx2kS0MQX8+schLReQgUnfpIo9CmZegFn6wy1iUE
LK3vpXnp8il1rG4/q34ROwKjvp1xuK0b3ek989f8TDh/c/ywdIzmM/hwPtop/CTUCdVSWamGpR5t
C+/WD7qpfyyt9QlPwHEx9kw36r31cC5w5yOXA1395AwWK69hWNPBca7iU7K5SGawfag3Z5Ih+/jb
vbMUsHsBCB8EJ5zDk0froOgaKlBqUomqYyd7vcJzxwYIaf1w5gOeZATbBwQLAi12/BPBJ/hkjypY
LHrLOOOpDG2vCqm7A5Frk/okyu/thB6/nEeVqmZh1zML5jMf8c253JZHawRJHZg72Kmvj4hPhEAO
XPgpNml8IKv1Ex4OAKYpYcgPWnqmqnt7KhgyLLxWbB7ki//pf/8KpF2+VFJJhDW/rvixquFG08PM
7cxLfftUr1bxT05FJZggfcVkio5+lOZx2Kb1AuadV4i7aWLBmTjz3nJAZzdyNoQUeL7XLzHQwE7h
F5ZnCGJUq33HB1cWaRHUrB6TWHPn652zdcn3H+/T994mgxIQNFgQKAFgvV64ANQIDr9PUha34QsM
OZ/71vwjHQgfCW4nIEUD0UEHCCf+9SJ162r4ylGeOjzOCyzvdIYuRncGgXv7KBBA0BAIHCoZ5OIn
71DBViCflVCZ76PrE8RluyNl6V386wvDKhtGhJYogKlTaMq0bC66mMBPl/vIzCB53ZfUnNsPb8NH
iJCIEhcSTXRcw+3f/7XJAdVLx3p4O5HJtfCwo7jeZk8dF4lm/ccP9OaK2xhNyKkYiheIhU6vuKHd
VLZlCa8oSMV+rtXYPARBDv8pFSyZiVtymQNEPbPf33s+MCEY+regBUD6+vr5hhUvOO/xFlVZwCpW
gspufB3BQ9Gbz5zk95bCicL9gnoFuMjJtgjqYioh/UIHZ2X2c1e0TdpOsfcC59Ppnw/Tpt4DBwmI
+gbrnexzuval68a4gnXh2h6Eqf8MLDxHPXj7vbAfNqd/QEzbHjmJt4bBeI9D2YoNGLmvY7uu2Up4
cQ3dq7mh8D+90SsZzvXG3h6u16uexAkZuhaSLVlmzJvW49SV9tCayT9+vBff5iJoagJBw7UJCTr6
m6+3RbC4suoJihICN+LbphrhehotOm145195hZJNUs7wquWFld8/Xvq9B8QlhsrWRw4EovXrpZfV
dIQsC+qhEF664ehX15Wl55Ckd1cBqI3uPtBeyMherxKoEYwnGZSweZ2mPetghOf13jlc9+2WR02D
QMg25yz04k6Kqjai8H+0hcrouMrx0MJJ29+vaqiaY9/41p4Jidu2/gvNxWNgOQhSYKCFKgrV5OuH
muAw2/crV5lce37Iq36900FZZ2rYsCoxTuLMNnnnCAD1AwVnw82RHp98q8JyTqZoVlkcIduw1kPP
KiJtfEShYvcTeOXXU2RMs/t4i7zzWhGPQbrBqiHuzJOPZ8mWfPWTgnldHO0DrdYLCf/GIGlRzJ8T
zb/zUpH8h2jJ4eChqjp5qUJTF4m8V5mxNofXHngO8G6MwAZKyxAO7scKnpXNP4flzZQeMBYuONiE
ndrJ82iejRnHJtNohqbAluRDOFt2XFk7/fz4Zb5zEtC4wjEHUIx27imDyo4RugDF1GTg0Ufp5E1B
Wq/i1/+yCJBo4ByQgp2WwxR2r+Dz2SYDAXreFZrSTMMN8MwN+mZfAD7BNYa+HzCbjej6ev8vKN7Q
XFRtBm15f1cDds+oGeZD4bzw6eMHehMgsd+DrSGGLBFynlN2mx70sJGr+0y1AXuQYGbJi3J1ELlm
rRyoyHBzz3GR8rnrq29qhv35mS2CFuqbT4f6CVRJJMgbEwRi+tfPi3Kuguiz6ncOJrrQgZOV1X59
C1tik1dp2HDTwMa9bNZaJNBPGgWr4bihYZV6aN3JfidK6jXeF/hZu+J7WYGLwS/mOu7IYwGP6M4+
SVcprY4RmQz5pRtFZJwSuM8TlZTVpCu1oxh6IFlaOD31NLMT2r3qYIUa2MO0dIK0aVgU8/bfwx+d
vcCYvbF/PEu7+Wn115B9GppoaH71Fbdj6o+u9HaKtGW/2eFa1VyOnSovaaRCheYY3Mafl0JbNMj1
mA8q2vu81GPqvGqaRYIOWzzc0HpzS1CsqONHwDs+vwrzydBfwkD79BUWygVTGIwAE3id4s00UTbV
RI3wVJ7aRV52g2osfPZHPX/xHAkhl2ytkhK2wm1cpcpZMXxdOBvU56ENCDyLhZAACPEsbfDS125k
a8b6eYmC49Cv+cp2dlILsWlNa8Gj41AYMh9sA6pVYpDzL8XOc2UMMW0jetEkcJiVNGsLydx9O66e
/lV3OvTLg4VT4FNvUM5OWT20HfkEvmwrP1lYhILsPHqmRKEyGfzUEMySZ2/MKUStbNV6/dKFHTit
Iod1xG4xtLfpGAW1ujObD02TEUZG8RRIF5lv3TjUxQhfXK7HL6ZVAF2TSat6KFDKSuEdC+bb5T4s
F1uhisjXsUe/UlHCVVL7w7g+hbASzb+W8DjuyR4OAvNUX9TjNBZ3UTF205RANhPzu3mOMN4isXU+
O5VuXVnk2KULl/ZpiKDYR92lO2EfV8dmuSQlZgOQu9iwvP7JcWP7edoQeI4aTGUYlB+j40+D8Usb
FjT47a8rDPoBSpu+oGmRT5EqUgwiGDyTurHHCJEsF+0M61aLgywelHQNOOswxI7Xg8sDrV/ioKKq
SsCXKBzulnqM5m+IlZNPEzvyar3txxg0yAMxwhmW+EoPQZ5WuWXjkJTx6svfZtB+gK0sQwPZAsyD
Pfocc7caaNb5Aq/YNFekdy9dIVbvcvY7vn7lGkb2X5iQVj9A3brUWSAkmVPIItYoiamVOpva0tGb
BpZOEPwDjF8fawL2iM3aMcTiw9xH186pkD9azJNY97FsEYEwsWE0BWaUyNbLybF3NTqvie65cy+a
Nzio+4Y62DQkUUVXUES0InqgV2zwm06kWwtc0KywMOufdrSIAQMmq1+hF3A1Eig5RepNzbj+CgqC
LlYmCwMWUOK1jrZ8D4qQhomu8cjqvETRVc8vYFgSBUfiFc9x7fs5AUsVPj+gJSeujfPqe9APS1em
UU5Xeh8WHcwToNpxElMFVguKzAgr4S4YfzbKqQJ29n4uYKa98SGMuYy8usdkk6qlQT1cDLYuuvEw
LJAGm3RCURCFWcdCGVxrpsJmhHdRWejiwiJaK3CkPWG7hMHDJkh9TuCyjGEec9z5FytrEL6+yjpw
43ivK9ZXYme0iGbv6yBb1D7I7jBFRG09SRLdLHZdlqsYpCHj77p85XMyCzd6O2McbIEyQWC4fNuo
3vXHHn4epQKj0LaY/4AxcbP4FTc+eh57q1z4x3blHF3B0dvQb1Hpm/ahiaDIB+sPZCUQDyEkbX/B
kZjKxJ+QLaTzUk7TFQ3hXPjgUCCPj9S2Q32o6zz0r0wMP6oU4Yv+iGwDg6MSdtwXg1zrwxxIDyYR
c597SZjP+U0o/eKzgPJg79ei+oy+Wod+TxMJEzzEZdBUO8BNw+JjREbRFp/Dbpoh3u1Yz8mzz4B9
/8QzlezZhsoAFhgJEQf8LLQc4Is/uhQ8hJodQLem9ZVxWgZZiNkxPK2U8PtnNvoxoQmBIXR3TYJK
1Pd+Vdb9tYcbWN72vFzcNeJd97xyzxWPuRa9/BmtZdzcqYrE0Z3t6SqewQXq271pSRllhddN7oBc
1dlkWjRIo7ueNPJ3K4w33IK2Wjb7JS8X8QNbtt0mWXigu9wNoQ9jfSG5CiEsHPAedu06Dex3ySeg
0xiqMPjY1dgjdLkLWIP2FNHOhl+0W/v1EoMkOKT9fJF19Sjz2FJ95LMJTbSnwZAv3nFBoSCXdJ1j
NfyZYjfT35iP0us5KazHR5IaS7j/wx+WZWRQ0GNixJpBoTGZOoUTEnysEyGKEgb4c4sxIyoZCtYv
Jg2d7vXvaGworZM27g3UskXuW/G954p2j1HJG9ivhy02epGAGbZiKEjVOhaAmeKNjdUIpPEyHOJ4
wnSPCn2P/qbEhAaWgCgDy6C4XRDPQT0w40sDXuiQQENVjgiNXuWlFXgg4Fh6LUEjaWlL0IpoVfL4
ccnROH2UM2l+5bpTMdDKetp8qjvv0SNAzFKGvcjSqM+H5qcZ1/geBC/c2KKhxXIX6hme1Dhf8roq
WKFTRJ/+OfbQ+MUFO1UvBqSe+9q16ldYBrY5du3C7rp5Du8gPM3tf9fCSx57wwKdowkv9dwX4xdk
CjEg6SIQzaFfYW5xgKGJtDuYxPMlZa0YguNqKGgtoPs2j60X4WO5lcD+21EvAzZa0KTo4HiQgogH
O4Kgr2u1V2Egr1HdOJhqN/X6vSS4vy866/d81xVmBgXb2mY39F61D2Pn8T2nOj+g+IBrSOeqjoLU
Jvsi6xrdUnh/YzLNgO7FeJhxvb0wcDHrtJe4Y9KgmvBRSlfDGWgCq9WmbpjH6sKUU+QSPsXgjsEt
TuRwEFrmCROGiFkuc9heuEQpHR2rZrALLGvm2MsowTWUeNtS6dj6FTgf3ih5OnhtSDK2+IsHkl1e
3CPc+U+GtRge5DthvnIV5V+DfJGYyBKLO2+A/QneCCF0X5Qt+kg0GijOQ6vE5qNukKzCOKYLrzvZ
LNVdi0Ev5uBzTMm5WDBHwNuPzPrL1wpK8z7jfUTKRAVmRhuoxdYMjWj4TrqYtqnC3/m8fQcg4a5q
p9RK6fspcpQ2whwg5CLgJcLUPcFPxMSWUI/+dzEHzVXO2hUTYCK8qASqHMsOJVl7qMrXUn3DeBiv
TMu5JnsG5XeAX6tBKQqCToP218CMH8VOs1e8xh8BwyIHz6tYFwlTXv44VErJI8/l7CcRMhVQMFQs
2lR4dfe5qsO42Ee+gqeNMGNo96w1FC19sVaYJbOa1qXFBGZvQgKv4Dj6DQ1269h093NkmuBLU+XK
S+eQKAuf9agzSVX0y3ITRHkHqXXORJ7qfI68rMX37D5hNJR/xHyBJrhoWb1I/CXCkV1Go7cmDMqg
KbGRRTAza8nrvW4m8tkHtar94bWVS0iMmJn04TLmWZH3+N+yCjNYdpOYkPGFURnkYIrr6ErUKuIH
5LgxGROMEKp+Vytb5t8YjGGem7rDfaKKsmSZNkIMe7vmFM/iGZ0iW+Jw5J5B97iUyxA8+oEz8aWW
0AGkBZvy+xWDzWjSgXl/tUwSyeU0z0jyprUTfha2HK7+MJ4SsF0slvLW9b7/zXBRXJd12/DEYvKX
RTAUqky1nBAY59XjXwefum+kraRIyMRL7x5zR2BZEIDi0DxXQz8BG6uMHfUnHEu3wmxxwc0XSswK
wXihOXpYRwJrF9r65VULr3uRtnD+RsKPSWV5ludFzI74VMG0X8diNtiqWtxPkJuonVxKK5McPeri
WM6kD/cVqDpVMkHGFO2llYCDVyKbIinaxXvmM9kIUVBzqj1ASLMTbAIbVC6FPKz+ROFDFOR5cyDI
p7unQjFME8DogTI1+YjYhc5GVGFGFSSSzXGA3vUW2JtfZ+gfTd5FH2EYDczKUbPgfIUlmQ4wOF/U
UfN46K6Qq6Bqq/BZFOz9BP4/GNoRGEx24ZDDQ8BSPKGt3/z2vTX/VXTt/Av2L8X3Oa/qa8zpsuWe
oUq/XdVYPWiJeVwZxYZ6Hpmm5kArph+GilDEzMZb2T5awhpJAZWCZAESCnYIvcWrLljdmAf02YN8
TVHvo3pbrWb3AzR2bgcFUpdhGFCIu4Dg1kpB44U/lqx5XCIZ1ChQp5qFt+jKw5xihZhJ7MHRp8Me
c1mi5avSIq4uLK+QDtuJRpiQNuEeSkypmd118Ksrk5CQ4kXlUM4nIK3R5kGNbjbZ1PSSHRCK2xuQ
KCQkvmwNIbsZRZjwVcErAEQK8YcO/vKHWiL+GB6gsp2U7F060jFA0zI2uM9AsMMoQO41/k4GKM/B
e9kMIxev6b/P8wylS15gMFpixMp+olmCGgjT5CqkyGT4Gsuo/dFoR9glgzr94NEwLlPA2UMPLw6g
wHsoV6ouVYEE96Qoeu9xauWE49Ku+bdQd/OnEMMAvwvryN3I/PFOEDFXhw4ZD+iTNoCqOGrQdNqV
SvX7mWMi2k54SywTDIFyN3NfL3Rf83n5EcGStEoC4uxPxeCTAKcXzcJMLn50qOkwUQA3+frdUD5B
Kt/FejlOlWE/5pmPETQ9rv3eIXhglt4Yqxtf+fSPPzbzp4kAB9+z3oTfp7xWD0UAlwxIGmtziXmB
SJECNFOmxIHjMx1rkHBd1s9l82fpKfmhzaJ8xDfnvpSthS2Lade6+KzKnqNt2kz6t1ebwaWzE1W1
w3TCugZzsx6vSLN0AwoE1//JQy6/OdbldyOu8NuwLuxLYYO4SSa8tZ8YqDhcLU3vIdfX+OYJPFgW
L60rgjywrotNtssNaAuUO8ykQ705fhIDyvBELZVFVeWKrUyIg/LW85tF7ztaBkDkPTga7SfjpjFR
fRlEB3QuvZcQEwtD+JMY8pkPAY67D9llBKAKNXy2QNY+JDxaIlSlYBLE6DYRJ3YzWyDhqJalvVzR
8+X72Udhv/N7i7an5dYeMI1tbDA8prFhirE5mLU2mgibTE6cf5Z9XDyCeVE/zP4IHAiF32gS1oke
U5fgwIDZVWG83Fd1HvyeWlHfzKY0+SWG+zC+EzGSmP2wNLFNq3HrqFDp5RdeH9V2vyxCPOBOb8ts
Ckp9paDwthdDW4ff2omRm0WRNdh7cVE85UhYx0vMJBL3hZBugfYRE6s2jCWQqSv6fhd7S1Qde49r
lea8479ijBECCUjL+gqTTdZHPo+dTYfAhBqWR47MicOXOTRoRc77aSrWZ5kvbrlGtAiavfArf9fw
2M5pD8oE0tkuR3En8fB4O064ZxTd7CGoWP6lGiD0TUrbB36SE+QAmV85+qcuVXMFud8WwoFehfth
KrsohYrG3mKK4gTzXng74AWsc5iukGV9hq8bW9KiW0OdTJgm1u9ypO1BSmpOL4JpxmMKiCDgBdnM
UZTgPPOf6PDJr7Tj5omDTv8NbQKHiYKjWlKMkxFPMQYB/QISWN8OY9f8UMHKLlo85pCiS47yd0GX
CG4Z4PyDBzcLecG0qWOsOzrsKAz/m3eSsslPPC57vFnEDOAgfmDua5h7oNj3wYpA9Iz62wlV6pzA
yFd5V50jwbfJmeAmCtXwvS4r/sQitNASg3FxPyoD56lkqYF/pqZpwwZhT9V+MmD22Hd0mJEkj4XI
r9egX4bE4SXeYJgHLSGtWsbrbsyRpFBv9DIno7qFrKsnYeJQd7wQULNe4jLk+N1+B0kIiBvtgXdK
VombBoxqCiErRfG/lm1/kA2Zb2S8DQYJ0Yq1GN3oR3lqijYed8ianE65WdUzaPry1h/DGSNuUB9h
ala+ZW09n9qjDuFJmExdGLVpziDYv4wHN3z3J8cfwlVwxG6y6rtW2/gpyJnnLkSVVw+dVe1PC4r1
DewjWrcvw1IsSQsXjGe6AEhNfNzAEP+XvXdfTxpXgMTExRohNozuFk2jp5F1KOXAIuaPxTTh6phb
B9VPOFRLfWmpYle1QZGM3Je1Y8a0h/l/cQtrOtQMEgVpzGHmZJC1XDcrRuMmHa8xTxJHPPxByFzn
u6KfYX6kUBGndV5VnzVDPQEcCD3lQ91LdT2sMEo4SAzgu4hNFf3OG64vwV9HFlNPSDE8Gy8PQJaj
PgMNWc7pEpO4yOKgA4G+BiAGu0zo5m9KNJt+zrUV4d7a1t8H4YSMXlu1lqk/DOaF9rO4DUHuA9de
w5IEM3ebekgF/B+v0MrEwDE03soveVPZLu2s9muYsk7IvWIYR7HEsrz5MgoSzSmmuTFMOOLecs3j
3Alchba8j+HEGyVNZ0tMjYpHb49v3K3I3CB1bnxDXkAugtwdonffYEBVYK5rqOPmY4Uu0UNE5qG4
hHMkLscCaXWRIBaRoyjoMh1o3kVRNmAoq06CHEGGAyy7lF69fja27sVuXYrqymk3BCjAAscSgcFS
n8s5xK2moxxtzHoc9LGM0CjarWAePgeyW7/3YsFARnzD6npcrO9lYjbY3HUlmydLqu6HaGqepyEy
lJ9oMrgbFc2YG4iaWX+yiyP1LYUVg83vRQcQOFtaZjGZR47l8OIx1yDtKEc+fuLSz8Ms1nHvflQr
oSbRlcUpILHFV6BI1VEZGlaxw0YAgMS5HMTPMCgHvesHs84vMwa6fonRODy6iRY4OOs0PrfNLH42
mH9c7GNP60eYp/OnscVwrHRmpHmhmKTGE4qK++uK0ZwwXgpFu/eGELtUhONc74gZRbxbRtmVxwFY
t0l8zb31Oq8FcpYVZfGXkBvAi97iwxmAAcCus7KrMIAZdqXtssNML8wVBgWp+VItME6AffqqCYaq
FcuL5QppqB95Oto1NX5M1k49ll7iPjIZXd1yg+S5Ry3ratenDRC9cgd1foPRr+gJfSduCuP8Z71u
kIKjfX8XKxLHOx92PUg25t7N6VoGGshUNFqaEresmHnouqFLW/S0//guorD+xXco/WMg5u5bL0c4
ncpo7FkKjBlljYvYCKSHhG13abhPath0MgZ0COZ6QImHrmhSva7B7ajm6nqiZNbZYmeUQvkK2l5a
/B9n57FbN5KF4ScqgEUW05a8QTlZli1vCMmBmSzm8PTzsXvTuhYseDDAbGa6KfJWOOc/f5jJtw2S
ttfTwTSpMWDAxNCAS122JJwh7nvI2sE0+L+P9Y20Muq2JVuN8rCC+qrQqVLnvixgDQTzMmgQt7x0
b7Cls9yg187wA0E8gYWAIYbeOfzMele2gijElmS7O8LzCMoFKMmN4whrd9rZMw6d4NC+17J0THVd
RFH3wFClpLdf6kpux3fxks5q4JjGw41/PKWaDkQkx0dzVf6tLud+PkLXz+66KiZjz8Yj4r73MXDE
07vH9b1yJpNxlUwGKgGjM6U4DD6Q0VOZZDEcjyweZVjXVbpe5yqnVSPam6RBInTtea9XgXmnKNap
uExbT561WvdjoJn/Pyasqi2dtCAtMEelHXMYp2yoFK4MEdTQvWhEHTs+DrHlrTvMiTWjTHJM48DD
eDwKnSGaX1RV9MYxoUs9B1O1bmt3cn4llq8Gzq2Y4OWOBeQGdlGsxoGIwnzdtZE5Pk62KAWRkykZ
kC3HuMsQJnXLUJcawveCNxZ52IzN1gmYFz5sfjPhoWaHzGmnhmp/8q4ZErWfIyhyBgN/oBD8bKcV
1E/2DALSqVkFEcId/FFJiGJQSFW8iiRdASWJJn+MmNDrfekKUm8F/cGdP2dUTqiLyP42jG4FZ16K
/JyUTnS9/cxYJrBxZqh2LpVrGw7M+Ah0jNaaBmBWdhvamVaf/FbSV5Ojlz8w8pFAGI0cKISGIQ/6
3GMmtbi9vhtSSt4dntz5eZkn1BhjLMYtTjMZX81oMQrqvUlfZXlZyHOzj8RjuyrrHu4vCYp2H/kg
rEbVtvuSad/1WtsAYEls95//GTIE/ujrn+bQzreiivonEdVNsffbJvtpWznXqR7n9XVaRHtrLVXy
s6mx8KA5IFZbL5XDERTV5tNYKDx7R9CnM9esze/RwJHHq7LGmIuuZGXOVfvNrQTA/LqOOG4NXlIg
ScbKBb+2zN5zz6lbJmjdA63qqkMrtpevkKTFt4rJBBeZn5C5WwxSZNc4ljJPivtm/KQXL1ng+69E
H2jTbX+2Bp4tVOvOT4GRoxHSjHo3pjllIL3t3H0Wc0llnfSDcV1k20kzJ0l0X3F99uHUy/GS4Qjq
W4jMriC9tZPO9WyvBDJWS1ncz3Kh3uWR1a05Cwdrw5H7znNHDqvWdYyHxquy5rKLXHNmwFSO9i4m
eDoGycAG5mxoFFZZNg4r9q6X1fKLL7QdVpSaeaiBU5/klACW5gPdVmArYI8YaxL7jEtQgmuXEYNw
cy3r+3xzGjj4lblccexZFe0H5X3geKL+FYlSqbCak4ZWeLTqh2z2u4n0SZxGDr6qMH0x51Tet5Qg
RujA8rnrKP9bjgNiLy9c5CMDyvjZaCmy4xkH+KjUY5Bz1iFPGlN3OVcoAn96dpapoJSDKkMWyfJ1
HDLxGMusTRkFt+1LlUegtSNhcnkwzKO+c7An/d5y89yCNMs7PHtr866BCx8B2ZU58RvbhHjOKtl+
iUD+jGNmLcNdaciuvIycfiVhle3lHBAjMv/LxGZ6vPkN78uuo5a3vNRPYfN0hFZDsU1eqxxsFhFl
S0Mr2jxnTESg+J2JGnbYt/3Y7uOIoNzg3xDzcjEpKtrCcO5zmecNnzqmVqhhg74aOYPpfdVxFIcL
2dr23qsN91dvGcuDWoaxu9Sew5WzoLmRoTva8ws4uKvCDhLy0cH6NjlPFfT47ZrDE1Pr2qL8q2Nw
O2xozCgE1l2/ZvMon/8NFh/NXFwieq9/Ou4E8IzRM4arGSPgL0Phju6/EeJ8B7c5LzvBv7lsx4aS
VrmFHTa5Z/9i7mEz7YBFsA2LSzRXleposzCON76DnQCLVxxqIymb0K+vlrY0PhdCNSaZs6udkpBc
EPZrGhHDeDcB/93hJVc/5JO1vM4wuZ55IVJaaDaKau+iDnFC1Yxdf5zwT78A8DGmoGYJfaJaIt44
tiJhhLW3Cuu4yN56NuwqfYKlmnwbwGafsfOUyZE5dfnUZKn9syWIfA4oegwwf2Zzr7pu1PXse81E
1Cm5st8hjus1MKMMEwDSKFR+buTF9KUivsu+MJMqanc9bBAWMsLOX+zHuQE9bJgTp2OxUOLBvGn2
Ti4Sve/aVF12uE0wbpor9TOySpAAWXvRLmknZzq46QqbMB1sQ9Ax1KKLr2M7K3lnJgMinFmvy6Ee
BqsIS367i0rWBrNkBJk/cz3197paKWqJ+I7scAGutvZ2Zc9ZSECsZVyuUdFGAcZE9rMwZyZCVeyZ
/SGjgX1wc8LFQ98WYjlP28R8hA6LMwAh1tQGbo2HS91L0Jl4qwMC0tj1bVFZuuBwn6pPomU8xi1N
4kewSu3eG50zxodJ9OU3V1MdhWkFWB0UIiYJ2TAL/dg3s/0DzQX4DMG1tRu0fYX44uu/AcvWspjr
Vd6qVARWHoE2jbHt3sLV1fnO4x5eGbV7DYeSsAfkdSPuEIeYAJfiGBWNm12aHB8gz0nTyz1Zlelj
lscLcI89iXRfw0tSwHkmsLLunTU0lwH2sMzX/Aldl1MGJX4W8b/hwE5lrn3AFcmMY+Cm+dlhoqt2
THzkhTOV5NcyHXUunHyL5o4Yt31K+JRPel0RGc+Zn9YEQHP2hWNiJlgOV3WjD0BC8V2XbP4cxeTI
J2Ekwxf0Hmy/aoggoCylnrtdorxOhbHQUDH+yYPtMvbfCzwBDkjlVgy6TIvDNqfMYnNWZqsDmQIx
YG4CORLfxI4mNnWanmygUlrHosf3jdvAjfZqpokIVL74h4qQ3OzKXqbICbzZmNMgHnEmCosKQPXM
Wxz7p7ab5EvFkZLwEdzhvJaURDsPDpR6WPNiuFqUUadXVGfO1aQNl5zvsRrT0LZLSDVUDqA1Uo6y
3ZWjKQBg1pjFk9h2/TwuAy/SWGl8X9J0fZnpCZD4iBqDg9XT0efci/WCmnIlQR7gnzEAo972UmvK
lEMJpp6HBWm4A/JZq72Rw1R/F4Ww08vZdOwz1NfDd2cs7L1hJkNzA3TPzKtHFLlwKDXOL38s0x8L
s9WfBejrk9IO1IlI4+gTWnlM9UY8cV7u0lGr2x66BwwxZrD4KI3LzMhhVHm4mNiQY7o5tS9uVnMI
DgloOTdJ77ZhlqekD2eTy9LvPV0pYus79eRDPXpJCjk/GY3rDUFJPvlLhUm03GXJKO6pJ1YYKg1/
vOuVn5Ua2qd8rg0/4KyWGRooeCcwx1RL0bLEOsXyyKlWere164MUAxigBhzkgbm023qBHGb1Yste
fbYMd7gniJvhc+eN3XfTiCvqEZogvYsYa56XvCAlXTRYlyklKVHR6djVcFbwrcbs08KYdtSQLNj6
pT5yFyavrprsHnvpZbXweWpSZ6eE7aa7iA8oQ2i5Lns1Yh2EqWml0JbxDGN+riFsBduZjGiFH1gF
LbFSV5UH3MlELtdPGEwVP/J5bGtY+GtxWxVUnvtljDVjLca75c7PRjUf5oyxdjM7ZRMubq54swiV
6H6NuGCYjXvzN50b+QsNATrutBTroykXA9WKaKZHFS/Zg7mMEtBITkzhuD5qHcLXYDJdeH19O/ZR
c1Mq0/rcVnT698BOlgobmFffFpR1z3G9lJ86J6fEhgGewQlLI+spsZcaBf6SWjeCMXdyVldx85KM
9cZApAfJgwkbt/44GFUugnHwuS/EMmSMkxgmPjoOpJYsweYymJqq/zkiuPjm0ILG1BsW+9OiSKCa
YMbl72tnSvuw6db4s+wlZCLNRGdL1UgYV9j1xHdOS+yng2Ew5f1sTfN9STiZBrpU2QuMOpqQpR9/
zDCLyyDptlXcdSqtz1adV19rBsIsaL+YybMHGDACZgeJHwA6AUURN55cJ72u3LBVZss9PPEPHZpE
DQnxHgngeGGIpThTZQRxqIvn/j7uIigW2Ua0D5SakgU+2iC+0psXt5YN1M2Xz8Stbvv4DjkN5rmR
rNS5KXsw4HajKLHhbBuDyLwevJ0LqPYEqKifjXgy7b1rFOCyY5vKGziTlROiKwG4ol9zmEpn0l1C
zlnIG5Re1f0yEBGzE43FD570jJJ3bAFUHjGMva8isfS8s5LFOJsE43fO8Hh+8bQdPdpUMXwnRwyv
0lqZ8uPgmRIzI+2FRl1MyZOMUju6wJJ1uq0aHGMObAUONqh53JW1TRYyE9ixiancrRa8qdQOV8VS
t1dCcbYEbh/3+a4vVLMGwlmiW/QW48Noev3rqHrVnkk8Qy6rglE8lVsdMZZU9gs43sTx57bxWW2h
sAeLTeujMTUwe2Yl9CWv2kFtcM0kCRckVz9T1g9PwMP90Bml80urpHD2oh2rl+14oEtj5oGXN5XE
uRvNJbaGzEufG2+S6B0SK664oYQHPANGcVO0iAugxzjRzeoWJPqtAHFwEZK1Hnd+VMeakkilF6td
gWDrCJ46AAbsj0Mjlvwm92suz7IpJ5Pl01oXuc3MCc8boy7ooZz8wejn7PtUr+63BD44hMzEMr50
a0NTZBe47qg5gW0TmwYaw3gwIspyZ7S+sAqzK6j43+eoK5rQqjTVnptSn7urZ+IIWRXGWWZq+Ezz
ypCTAztrkn3mUbIHo6ATDTLGdZCN/Mk8h5STeHuc7shmciphvVSQ4TitLK7hrBqNs6Rr2BIA//5d
Z2rrToNAV7tosqbnxuTWZPGp6dWsiBsKsjxzLscO7ldQ+XX6NC2My8CkJvsaDfbECodcmewHiH0t
3lBa0c27OVMMp5XGBT9cC1cjn8Vj7s8xRLaNgFjbJA4dx2ZMOXCj6rlFRPp1srr6pjLS2TrLCm0c
KjH36sjh2uSh29d9omBNAAkSBwSeUIwXecX8U26TRDh1XuCiKB3PZt8umTeUqdNxApmAvQSlIHTA
K5/x9mjl7Cd+hKiFx9TbDoOP0bvOp5REs84CHr9GVAZ6UM2545It08LPBZYAreDeSPr9qN3COpAU
BKSdDVb7tc7M6edUcQfhyMXEeZf1S/PJ9aUoriD6ppcZp0UZutPWVTFj5o+ALpPGgUvt9RUfUnGJ
apExtrtO2YtK1PSTGR9PbfMu93fgVoV326oSQJiEw5V+AP9bpq6VZ7df0MFp+zKx6/QzpIO+p+Aa
9QBlJhVwRmakLHnYahhYZzGQWneFnLa7HiGaD6EH3LWekZCo0+SWWetsPsKwWF8pvEb48LOrou6p
j3OkIPsWCy73XDDKf8Hle/o6x9Y8HJnJe/XOpyuGYzEI3CHprwG3Y3cVzz6WaNh2eY5/kwy5n8AG
SzyK67r+1DHGh1hlpMargB5R7dY0t6M95BAfahStablTHRwhJt3bBlDDglmhWXljE3rcKQ4VtgvT
jEmf/9jXjXe/DtZkMKxceU0Uys0Rpu10vY7dCvy2cjLsGIwMDzGk6YH5kMwbME0vf0qxR7B2Q123
uP7AAqTIzMsFrLizOXJamdP0exBDJJSxvu/hpYgkZ8QgWDbMb7FxzPXqRmcN2HKKSREFblgbJiND
RnCVc8B2TOPNhJWadwC5z7mbLJPRnIJGjmdcu9IuV+1oMrSyRPyJ4nEa9wkOqheYyUgQFqMSgua4
Y/lOs4GrQpOVSxTkC8c7c0QAn3NcwWmmIZy4cLvWTL7YuZmjH66w0cRtdcznXWmN6keyVpyBIiWN
JhBWCUbrZ3CAg4HD+qEtmuIzxERL7+nq56cxTsrkXFB4M9tItXXvxiYOW7PUrMjeqXrJ1FDK64ni
5qXJRu8TdsE+5CPSiqJ94a9IOlfL7G9aLzW/JbXp2rssm43z1Y5rfdv6dXs/LZVtwN3wYLDXW2lf
RlbehsoYYIVRkQuU15XTfamSgj43wxaUQx4SZ7QDGVf3HAfMkNCYQcm1qkIIyG9iuOOYWsfQynI4
jjrD0Whq/rkHVO+PQW3U/TVHI3NieETRV5QYxdmCs+q8g/DAeBCaT/O8oI/rdg2Et+aC3BTjVzxX
nnU0BBhfCEwguUoMhwRJDhfh7eVk0X7ift7/KGOzmyio8/gJj93xfknakRtGO/FL0y/Lr9iFZnfI
Wz9/9bmk273DxmIS0WRegwVN5sILXSg5Q1Y8w26VCPYNKgYKP1rv/DsYffVSazedAok1/BNTXDCa
qeuX67qe/Be8X2DzMDG2G6YAawZl2RLejyIr19eU3oq3kgWctqF0RxVmaWb32zjPHkMjdYtvKd6u
BPfIFbm9Aqlj6plumo5u9CGLVvVaQj4xDH78mLHdRTctZh8YrjnZ7AMlElhGWdzuPe1Du+ZuIVLJ
i9UahwxkmxuSx4xl5xqOcWXHFWEDqZyK+kj9mH9pak5lijioR4OpOfohPJbfoZtmd+hae3iGqVmK
PYzw6K7nfEpCynxJm5bWwycTrvhnzezm0XaYIyhux6uyLqyHrLBUdd9k04DVjp+Oy5npjfOnLuk6
bFDX1sIGSBd9dFxqK3sYtNVJaGgLopXFWEEbqV0wTV1NL/f2dEnC2aeqpl2cu8Zpd2bPrtnHfTpz
PvpTW51XajYH5LiT8nywVZvzwbZ6/ucEOc93na5ahHit1TgaZHLJXr0a4sQRi4wxuh7pcSB0kVT/
MMOb+6loDfip5WbmUsVg7ZFKoJMtMGCgN/RG8Tq1c/QYUen/wBRqg1mXeVIcBNSAe6Q41jN6EJge
JfKg5yaducjbXvrHpphypqwohMqzGX7nA72KJtg4Mzvo8zbioEmujQy7AiVikJtmUcAwASTZRREy
GepI170Dm6batFEFXGYt9LtdSsSkx/Bg4HqCXGM9mUuTvs4ezN6wKFyqXNR/bRM2hhfdVZmCZ0Tl
T5HL2DXJD7VVOp9EaULkGTANueuE7New8aJhCpC/wWbSrlE/5m66fPMGR35yGGgZexmthtglvs9w
gmyoOA3ztqQ0LYRV3Uuv9x5Ib6yfDdHZEJbqOjZDzkPgQ9LhqiskaaJC19xaL/jJQ/iEjluetwiv
xr3E970P+XuMxwjN88W6TjUcEQDUH12exs8maBqM2mYuUyaxLLHAtEqxwBQcN94lBDfIAVDgv0TV
kqgdjKSVMbzr6SMMe/5JC25dzb3H9I3iGEp+MFj4pO3jtndv+swWM0d1IW2wvyz72uo8ffSj3L9j
bAjiMkXRKjaAa64DzxFIW+ZUUe4vnGwvFA20GiYsy6CvETsECKuiVycBqjh0fpOp3QIXwofn1S8X
anVKvC6M7YbJjKZI92pMgGULGB3WXpaee7v1nTaHyrCed3UXt2E0jGB7+DeZV924qs9xzikWYHCZ
kkBEW3LwWk05g3lz+2tC8HeVNmVv7sbWYF6eeqgK+NIsyNDum7gIxnURXxEg8hvPC5boXrrKR2t2
sWpp4F2aQGOUaMGU1ybCm7zy7/s8Wu2AZj2haIikZEMYpvg8pdb6OUrHQUII33BmzOCGF5V1VhOu
EzhMuJJAEW2+ggsDNzCju3LRsYA+S1sdLJYrr5GLtTeeH0M4dmVJZR8rtycsytfTzEnPeN7sFka9
65xP0QGiqIrPCtn596JKcNHwfSb2l9Y4Mc1gHN7tIo79DokFd/25mSlfBF1PlnJftYJetGfsvqdZ
rTJkiFld35uLhBYAZ6xDRBMZzLvQyA37Zk4WvWuNWarQW5FAh7MxDC+jNYlpPw2tzA5+4ufsqcR3
qLQgoK7Q5+I420kgwfTHHAPM7IdVyDEsawTwFGZLDuXCb8z0Av8xv7yextS7s9O8aHbWuBbItGo4
drdIfhhqD+gU+BiNVf6QeSW7w5Ks0bxbZiCrQ5xQGO8kX7HdrRzi1BYZUyo+bKGFBBUyo4e0cakl
GqIvBETPkSJkYa/+LKqZQPUU3cdD3S84vGwxANcEIvRf4cwqhpB151w3NnPn0FoXDbXY0xlejCqS
MG85uQLBIOVGRhLKywySChNvgpa9K9AP/agjvXyuC5ndKljpxkYYBDsGjXVpRGv9y4tGmj8F4exh
BT2k4spsBja9WxjfqPimPqRFqShBx9a7ldpq5DFS3votFpNxjcR0NC4Rk1k/JltaGzhTQM8kSyg+
BxhOVuajRnWLuMCScPitIWHMTsBBCAmIHeXOmXGfEHqQh7Uy+MFGw7Afh65lrNwMDuPd3Oj880XE
/XSc+L0/rdzg85kCzTjPQE/ue2sEQ8LjbLiCEMEtWcM+uaE64LoojK4eg7UDxDh6adMCYJmoCT6B
SRaUIPVowpeqcu/eKWvIsFw38W1TwCQORr7yFxjq4+3W6EHFMQr0YELU3R06yeh7rkGQw9Ga6TDU
7BXQRIhUefaThc0c62Rx4WcVwBVlhrHuHjc89b0AbMMZ1tTJY6Kqns7X8JtnfIacApCtKr7Hsmlh
QUQ5kBJq7kLDSa/0o6xhAHDIwr9QNp7HQdoRSr5jFy/f/MVZR+p4Cy7IBFRrw8KhbIQnrYoHlaJl
CJlCOa+217r33EGddaijmDk3S7fdG33cUuK32tLhdjovBzMD3Nlncw+MbXsrxMjEK283DuqyS+Zm
vqZyqTrnLGaivewTJb0Ga7lGXHcjt+ZZXtfWuQcmYgYeBvO08PWs5W2HGPBHGxnrrYNatA8miBXD
Wb+Cv92hPYvwNhVuzbdJlF3vSfHq3au1dwr9RF8gnoQPMMoYSBvw852MKreftHwuqlUZ1IC0R9/9
OBtFQPsFRzGSiKaOuoE1/sUlNdRn5OJXNoeEBTQGzzYGhIcAlC6fYZeO5G34SJcOlkbLE9TDQhbt
nxXXm5fAf80NCA/A+hO7BgOTM1DIE3F3IRfbbyD+MBBW5jcx1FEw5M1wdPNpvhOiwOxVRDE/XT/s
inyQxz8//lTwvT2erFbk+B42tkzB3mqt0bC2PbSVMkB6RTtUQGUezgxYghbqTn3LjMIPVlvFl+1c
QAv+88NPU8UImOPppmEwdbSczT/l7dPJCXNsRndVkEdcuftWRmykkljAfU5XkUJrAkWLUWYzP0/p
qNCI7vMKtglFDIB34/RfP/iLTrXnp3/RicUKhOeoaUt+jrhWnMOMMHdZ7JshpdJTQynMwcMsvEWN
ti/6ycbfy1uOVQUCYE4x1PAFyAE+if/Blzq1APjnzyLEcHO9ldZvzmLNzAk9KFriqoyBW9HOxRA7
CtDIvKudevfnr3DqDbE9bXP4cDd3UzgxJzYpelIVMe8wQaADe68qdS3occilKAtne34l6Nf8wETn
vWWI5Z507G0NSvvE+gKCZFfnHXN45IDmnQPNhDJXwsXtjfkc9px/1BXa7dpy/i7+YYs4dGAaO9sK
5PnyZAV6NQpE+C+M+zDCQ3IF/Jvqz6XiLjgHCWK0/edP+/uLvn3eyfpaHIEwRWuEh5Ux0dFOy/XC
cy/hY1hwxZt+13hN8+DbRXz485N/X9k8GfMZG1Njlzyq7S/7j+VTt9i1TBUrm4Qk4yKG28rFq+u/
9Gr553sSEsiyQZEBiPP2KTw6tfyGHW1Nsr+wN+qbV8oLhvLTJxe+9Qfr5vd9gfs2xwfTYwaC/Jpv
H+cpP/JLwUpte26zHmg4BHH8grhGnv358/2+JxQ+Gy5p5Ix78PfdPu9/Ph9SrradU+6GqDGbcyoY
tFjIh9MQgieq5BY494PY9XefaGHEhAIeacKpe6Gkw27KgT2vEzF9jxaALr/PNiSxTfI73Bq9D3xG
3lshRCd4CCE87J9O3cUnEiEUk1tO43agX/FX3emddrux+j+WIhFEeMJLpfjVTr5lCpmcioJvuTZu
A9e59+Eczc0HT3nv+2FXLiFPkYICJ/7tLza58HTzhKf0MAQcpIX+epYlZrufwViZ4IOF/XmJvLcY
fcOHPUBZxml2ssOcurXjxduWiBz9+6nCGCSc49gV+6GgqPngJDk1Kdp2mm+5Bl9R4RpxGlNS+0NB
DYzyuJVx+ZIy0IMfmkNdWfWV11VbJLHox6c/v+I7xxcXAyZkkrOSpGfz7TddI2+1bEiiAZ4CKDql
Gx27BbzVKrNDU0QeKISljsqC8PjB677za2ICy7QZTyYOF3VSqIxmWidew07vosF7NhFeZ9zFcjwj
rGw4xOij939+1Xd2w1aQEc1iSa6k06Olm/wejl3BLAt66M7G2fIwCOujVPJ3fkXXxNHNkbgUYf18
8lrY1cRZte25yMzlDOs977Kj1XXSOMjKgI2cZsZyK+H/Jh8caO8+mYsACRthgfilv/0pI3j/c1+S
kZB5A300YphoF3XsDUCSTr5ytkN2nZByRh88+J1twvMMqgvMruG3bX/Yf07SFsm7i8KUD5vr+aKr
jHGPE6y490FQPjjR3nlH7P8sAkzYKltc+NtHNYVhrpNdos5H+7cTLdSy2W4R3qYMkO41NOWvufQ/
8it+5wX9zRue/CAbBMU4+U0RTOPBPLJJUomBjtFCR0LaEh1jA5XCXy9SH86HT8oGsTeYYL59wQzR
OXgSLxhhCLTze3hMU2N/5Pf2+1bYEhcMQlZtHN+cU0tAY/RI8WjIgREYCNzmUw6fL8nGD0qxd56y
eePxH05PLPRPjs8BvUpZ2T7DaBeOqJaVDVsncf56W1NFs+VMPBRNA/ezt19sNpJxpnyHZAFppLxt
Mdepd3Ur+o/21zuvw8EscbM3uORYCW8fxERJxRX4abBOOJOmpdmGEBY/cBz+/VT8J1IUvywi4il/
Tt7GpGCZ5gqQk9fNLzg802WfdvA/9Izqf4/CWi/Pf7vkMOMlrBGKur1Fq5ycGym0bvADKmbL0rRs
iacPepnn3Z+f8s6LuR7nojK43Bz6vLdfb8K/NW7zhlbcbxgZFol7RZhMd/DcIQn1HH8UzvP+82gB
CDKlvjt1xR9NY3BdcB0oCKJj/kecKNPVKEZpkxlZfT/MrfX9z6/4zgLhFYkx45bB8/+31ht/fFQr
fMglqVKUuzXThbpf/36948kDMGZb26nrnxgN+52Dxh3RQTAURnTnzQieuixfPkiv/L0uAIqyuUpc
7kok8Sd7N3IS7KY2+0yLaDuY2riyoJqZPkHZ94/+5KHBzeOZEV7Xl8c/f8Z3fjnKLfwCbbIKJVjK
25UypkbaNASWBLWj4q9IgOyvSPNUdyhqbDsCJ4dSdPjzI3+/Vgim4FNukxxuz9NLO5nMyp9I0Q4i
q1qPNqysb4VgInklTNrzuwgFrwzqJgHP/fOD31kyHraeHhvQY/+des2Se0kBi99gMOJWdZPZqgw6
rae/rmN5PR/fSxPBFZbfJ/dXrWe0/B7EL7/wqiO6xgiTN1G5bIWiKO0PFuh7S4erGTRw+6KQ5t7+
foNFJBY8VfpSb06PeHvBrStSgSt95GbX+BEu1zag3dGiuH78+8/p8hlJG/FYPva2tP5Tibgp2HXs
2LD/ITPdSTyf9jWeih/0qO8tUNekJ6aGtGlVT2pmPJ+0heM8zGQnd4MOwsI3a8bVE/5tc4ZOpDv7
P96KVhqjW9oejuq3b7Vip1IjEWR1qlqnO1Tu2oHmhUnWB6vx3Rejy9+KD/7bO+n1caaCFopDAw4u
ERoCkoEZmHS1PxdneWkb3cOK8ucjJOydh24hKfQ9fEyu8JOLYTWhKesVnc1CYhszKiRcCzz4Gl+b
uCx3f/6Uv1dyLA46VJs+lVvBOjlbyilHZYutDpKoHnFRmK5zU3xF++U2MwrxZTI/6ur+yUV5iwdv
kSl0Vh7flerh5NebSz+JHUYTgc+2K/fp2BvX04yDmJ/21VnkMTqSadMdE5iRZAAKxlNBvLgMBEs8
8j5Yuu+cNz7GJxzplsPZflpeJhPMTNKharg1bbwnSBcKX4xT/J+/8vvv/J/HbD/Df/Zh5vTFaESk
30TrOjtBO2zmWkRFKjssLb+/tctEnBsT8zWvwLFWF4yiMS73SOXJjA9yqt5bX/zi/wYrcDKc7NYa
M7nIVbxyDHc8VLBVf1ptk0MJM+KLsaNH+/PLv/eJAb+5S7g5t1C3t++unJVsCmwZA9e2GnzXUBC5
Szl98FbvLWSXIHGJOb7Fb7m99X++MMxgVcwDfQIWes1zlMXMERszfiF4+6NS4N0XoufaHMrh9hon
HxB3ZAgCkoKjJUR8F7UwAhnUJB8UHO8+BVEJBw/YB+f32xdC1xRpk9hUYoLj1DtgU6SGHZ0WCug/
/z7vfTnie7haAd4BH07K+Jbi3kPUyoNEbxwEzPSdW4/uvUYx/On/eRTGz/5WWJMB/vadym7uel/w
I+m517de1CdMOD1ovLCJpuzz//Ew0q6A4Cix5WkXjp1Ngjs0Be/IAOYwDD3BlzDEd2NflIc/P+q9
34oSjQsQO2Zu+JP3gsOknK4EurEsu7zHysK7cbzR++Cs2v4tpwcnJsnuBg9xQ5x6MVfF6Czpyrqr
OniTwQBX9JzDcXpKQKgOekDt8+fXem9lAPZBUYStxAzr5PqzekTjpcPoDD+tKsxW5HFtRkgYdX3y
wY/1+7uBligWBRcfSMbpu01K+kUHp3pTU7fHJGrua6+9gCrnnBltOn7wYu88zcN3mfgEMl82utnb
dTgNliBtnPG6PQnnIi598Ui0E9IdOax3WPRFH9Sbv68PkHVJcA51hInS9WQvp4YDYV/UiNqZsT9r
uS5gbub08Oef692nkHLINgbKYOb59q2EGJ15xZ0JRhsOrGqM2xsonB9lKr3z7bZaiEELzQGg8/a/
/+egBa5HHeXBq6/GZbyTMtooE6h+L1Q5OV/MJip+/fVrsQQBmUzc6pnwnLyW5RRtGie0BDiMUayX
5o+0cv8yoxpggX5AcSxxoHN5nJaUpsBsolpH2rvawkW3wzsGdFlVIVQMBGoGv9kHu/n3X4tz3SZ+
k56SEvN0INiMGgXO6MPnK5rhyl2z6NoYJmv669MdSYXhklzucrqb3snp7pXwfSCA5Dhj9PW+zMuf
60Y1a53soxis317Isf7H3nkt141lCfZXMuod2fCmo6seYK4jeekp84KgJAoeOPDmd+ZT5sdmQZlT
LV5qeEfzPFEVFZGlpA7hjtlmLYUTuCVzRFaxl598VJB+G6mXaURU6jn5VFSSCLIu/u34PKNwNGU7
scoSuKDXrx+FoFR7W+CGG9pwazcrbVA44zxm2tXQC8r20tahiI4+eT5+SJf12TzZr65znTY4kTOD
kHF8/RvknHTWhl+ql5qcWpmk0eJLPTGK313/WU5WxxYLMyszU+PrYWTw8L2+hvFoC7N9RxtfSoqM
d+9/W+te+9WSQsRz1YWsuXBn/e/rQZqkbJuuNT/39AiLSro1k10hW5tKUV2MN2xwaPrC13DmnXwT
XVhHpdmIsK6+AoNOniG1hNB6J/Pz1B+c2L4shkCtQi83U39ZPr5/gadDETuWyT4gySHiSgf0yeSR
wJVYKA2lK9icoiO0k9Drx2K4kOCtB7JJnxqRvTh4f9DTN+THoOT4yWmqbDFOQ3sp1CFjrKbYhd+R
3dIfkAeLPdv++6Ocrs5/jWKz59W0Vax38r2RhI7AAXNpMW1OI0Ul0hqKhaLk0Vd+rmDiF4OtshD6
0Mh4o8g4mfWbqkJTZqzViHHIWKOw71jQWDGnLvzNF5/rejXUyYtvmGFoLTVD0Zs40sRQhFvgKr+7
ZVtHIfKDG4O4GjPJybzY90pM5T10RiYZYzuSNSbZtlib95/R2zeB7CxdEMxTRJuIj7z+vug4WFLD
pDkxTITgFNvGEBbz3515yfy8GuXkK+ZAAhNg4vAIEDR04WZ9kjPl0/tX8vYFIBwBmhU5x5ptsk6e
ypRLnRotoNSQFpnflAmeQ06D7sqVsM6pkn68uj9PS2wwGIwQAdkS8kunhroRRoI+D2SxyKJDkWHP
KNGsbbWXjVTUR4pvq01n9v0O+KvqTUmq7qHk5mfmxjfPjjMyzhOF6i177eE8ueKihrBexNZHJ6ED
oAaz6E1mdm439ctBqPDgnpKxMeXTQcC+gBGOPmVzXTiBVmvGocRV52x/6+mtFTE6ByFSKAyE/+Rk
rujzfHJicxpdZHgxlcvCfoSbQgupnsZnzngnV/TXUOxyUbWSw0Zn+PqV10IryUo2t65Z0PzdcoF+
n0vK700SP0Yh9fPjYlBgnlYiLFUFRqqM6bSJVQhsdERfavJyLmF3Wr731zBkF1b5HsdV4+S+wc0Z
yJ9JlNEPRrNLp3q+hCLXH40+MrYxB2Y6uyaDRkz6t8YMiQqN0n20N+C2eDzScx/6yUf449cxSQWs
nyAb4jfxSLtUQeiBiqjmKXdbPcsvJnAGm4TetjNC7h91YT99gz/GokxO5cUhec/e+PVz1PUC9PPM
c4zT5qGnuQd0lrZdwmwHsnhnVM3nPhk/9wr6HD28L43+40QGembXV3fZHi79uTjFOlee/EIs5DYL
urO6ck+rhWixoCvXBpEvK42jvRTwX7ND2ZLlvIGdWWabLFkK9Q4mXPJ1SaBRn6lW+sXNXzW2MqVK
FEwA33t9Q8JmUXvwn4NLaRgMX7OqfOqHhV/Hae6//7n+4ht6NdT6q/x0xqqVWY3n9bWLO1PaZ7wQ
l2xG+9//UhnF4Rulkm1dC1+P0tDWGpY531C/RPFGdSZpI1RYU/8P18KxSiEFSBLCPHmPHCwLOeg1
3qMqTT/TFd0epUEy794f5VcvB6UefBLER8jdnsw6FFxEYijoqs4SJd2ibI0tOkKUKIj0qLuUBVQH
tRfioA3p8Pj7Q7NGUVVGrcfbD4XW6lIZC1oLNYJzV5NijM94EaQ9rd7GTQFVDnSaad4w95+rDXz7
mlA4z3mLciU200wJrx+gNJLakZoUfoet11dpVla72GnPZVve3lqbDCCPTrZlDnin8fpYrgdTFsXs
0pZ3J5vG86DbD+FiHgYILjBbu52lN79X1sLkQ0RShRZAmFWlRPdkWaT/aOTYXc50ngIr+OgIwOA7
oWiJ6YGYFTHMxjYiCQOiM316/3Gub8rracZWWLeoZyD9QknNydAUz9BMljG0bVKQrU1hGlQirgNc
RzQ7dM25yMP6970dTycVQk0yxasnb+6sLKEeqfBw2hHcgToV6Yc8isINddYpzY2W2MEiPuf/ezuX
relASpQoK+XNOY2Wx7gGaYyGrxjqNONkciX5md46GwFf68xc9suhOLPTBArLkBX79UsKqG3B1whk
BnLgqLKAyJkchE5SFhslXRTz93ZtWGZs1moKKnhl11z9yYotTfRO2wYdGMYEu0Nq4FuJDHHab74k
a6U6QzB7UqXIyfL1RTkhBWcLDCpAeYXdBvMYp6Wfm7Hxjd4wGxaaSM95ht/cx5MhT+9jTgOgjdHA
o9VT+IqevaSW0vlFnQ9nLu7NtPKjDJ8SB3ZX5K3Nk3UhXuZYBokES3Su+z2sksKjN6g88168HYW4
Bll4Ep0sqbDbX99CqKJDatV0KTtZawR1PCwQm8xl+/6DOv262LvwVfFd8ZarNiTS16PQmaXgfKLS
pQ9D+W5yBqRJUb+fNWtwERBNd0N1Lj30ZkjuGAeXtWx7rdo+PfPliqVNWksjRdI2ij/BLzc8p+qk
GwWy0rVjdyuvbu6C9y90ffw/TyMExVS2aWvZIYNSbPn6QvNp7Ac5QwTVbRK398ag2mpXqn8utHGa
yWTSeD3OyZrDbrE365xxhP/5qfRxb7jfDjfP71/Mj/PIe1ejvb6ayWxjOv8YRd1SUODi8giUI5gX
H/+JZwSk3tyLxj2Az3fnD++PfXr4fHOF64v70+aL43OuN6tSS9rp3uhRBO9+ta6sw++uq6d3cv3g
fxpnykt4ECXj6Lfhtqat/omC5kN45r04Xb1PRzlZXmjHT3NpvZplgxvEAxzolZ448y2/OSedjrJ+
Ez9di5Y0ip6uz+uqDr5k3sOLsX1+uj9nzvwh933vtTiZdilkzmclYZg6oOzUgz/gPgHbvF486xF+
5/7Mm7C+y+8NdzLlOhgrmT4YbvS+AH11v5bu4bt3f2bDofxiwvj50z09nBdt2VqgQNergoDlESzy
cAZ5tm/6z9tPrf8IK+jcAzszXZw2QHW2Jpx4HXPwOdjxgSXBh8X9+niM3ZvWf+ZM4ALbPLOwnHt+
p8X1GpAONV+f3+x9WTbyFiNW0G7iY7IP3Xzbu2ee37rWv/P81JNZJNPpoaS9cL3I2Cv4j+5C/PSA
s525nadr88nrf1qyo0uoiGIyl+5a0e4OIa0QVdMfhsw6d03n3pWTScO20tYu1w/NNj724S6BlSxU
ZGdlBorkXML5R5ztvRt4MnmktqQaAMf+uoH5NZ4G39rggPMeEz/xv9N0z0Qsu9/PXeWP/ed7A5/M
J2NU4BKoGVi7Vw/tU3WsD9qX8IZwI9ht8Tw/lIfkWrsxHs68Medu78kEE3VTYlbrG6PxzkBe4P0c
duzyvNC1PBGUQeTbnu2dK9l+E2w5fYFOZppZLbO8XT8MEpCbZKf4D4W3uC+hK7i91UZ1z67jv5oA
SAhSxL92y1HH/XrGbjO7KOX1lUVCHCh8H5rvsHPQPeei8FD43bY3EK23zVa/dPZn7vKv5tWfxz65
y/Bk5pwECXsVfwzMp3wTb8bN7Gebdq/uzsXMfvVIySeQtKCojqT4yYEgBVSdzo1o3Qb6u6zQfQue
Sp9f+rLx0+X2/Us7nQjY9hP3JNihaRT5U7Tw+q6aXaKGca4vnqR12gY+EtRqpUlwrM3LmTlHP5nc
GIrKThL99CDZFlys10PltmpO6oA5K6RL/aJyypJ6YC0/M4ee3r11FJ0MFqeBtVv2NK6iY6nGBwnu
qKMr9xropHVohrz15FktrlNRFI+0Mik3v30XieBwrGLTThLUXN+fn3YTFaCEphW4GhFOigAuK3Oq
3hW34Orzc+/iOoX9PNNwgZzhCNxQiG/QfnXyHWDjaRbHkmbPKofS8WBftI/A32AoNUalZQ+5MnQA
XwtLjC6R7VZyYSMWN3k6h09GV3YVAIFhGPZ1Yaq3VJPUOIaaRNiukPEmvX9f3my+ybmSGzMVQk3U
hZG7en1jdCQaZWdZSCyVYcA5IuXRzGwIszb2pxbPKxhoY5jSDYbT4bkh8/g1ap3I9hWyg8smFZp5
rsP9dH+5/koa7wfpLVCveIxe/0oSkKYES/zkoVjIAA1rqouMovhE4B8YwSgG+zALlWU3GaYzW9u3
H5vGQ6M8jXgwEXrtZHWC5CqNM90hXtPZn2uKNx474EPXEDfPVYn+YqS1k8YkDU9UgVqe1xcZtavy
zlEXcHqpSSkFvU5+NafQQslTvbz/kN9+14QwiXmBDaBXQz5NyUeWPBUVKCvPAoUTdM2E4KmOzqRP
3hxyeGx0VWqUZJJAZglYr/inTywiOaGlSz94oRSH7oRR1E2LSHN5oYpD0i9VYOVhHqhyql+Rzc9f
jGJWzsxgbz89fgfqbtZuJcrMTiNt8zKMUVXzddmwnM0gqkLpXs9kagKdDhbOHnwxKJffvrvrPEaD
D6U+CpH619ddGHGhVXlIo31bQcCZ9WxTFJa2+/1RKG5ekwXUHNAp+3qUaBzITc3pAOYFnyckJCjD
yLR/+/7pssaFKETWyFX+eMY/PcNs1jKrozDES0ZRXuV6q/iJBH1mhB7qF/0Ubn73qtaaDSoqyYDw
5ugn74w6y22OixY+/JJEh7SSln2Ik+XMIeHthGKrBj2bXBQptzdFh3T9ktKb7dbDD1v6sgz/JgfS
vpNtQwrswhghw07tsA+l9u+SrP/4Ov1n9FLd/DXtt//6L/75awXsaS0bO/nHf10lXxue/ffuv9Yf
+/e/9vqH/nU9vDRd37z8cfUs2j82ffntuUuq8vRnXv0VjPT3b+I/d8+v/iEou6Sbb/uXZr57afu8
+zEcv/P6b/7f/uEfLz/+lodZvPzzH8/fCu5O0nZN8rX7x99/tP/2z3+ALFjzBP/x8wh///HxueAn
rxL4YH9sX5rnpP3FD748t90//yFpzp9rC/gK0aB0mOwH24/x5ccfGcqf62u/9iGti9WP5veyarqY
H1P0PwHAyCy5fHuG4azLLR/ajz9T1T8d0o20xLGnYV6AlfK/f8lXj+6/H+UfZV/cVAn6sn/+QyEv
yFf289IO1Y6FfQ3/2RqdfKdB7lUM3swl1uOZufvGNiiQYF0fXILR1VHN1c9UVVzPThIHShf5S2HL
ngYEzVMhQpaIdJ/rZXT2uBWijbAaErwR9i/Q1igxir6AQ1pngTamIVV1+gOnBhA2RVUeiZ8llxHg
QVfr8myHSqb2ftTKyBFcZ/iAUKFpiUn76KZuw5mGnPR6SHuxibv5DnvUtrUjpLGxjfd3aj5kjTSt
THEVqF6jenUDAjWpjfZRzE5zCYgzDCQxJns9TW3Wp+YRfH97geFD/4olod0UDZRfm2G3Gfhud4ZS
9txbpX5vZ84SpI1hbhJhfDPi8gg2KdrKRmcSOEcNzG0Bg6LwJe1i0848CBefKLMQ+0mym5s0iSyP
Zg520ZNqb6t5no/0nl5HklWs7c7KNlcA0esU8HweCOaBwi4grw4O2FJNErBmxvs2bMZNNzvpdau3
Kixkyt3UijaU1pL6IEOs4Zq9fjtJpYG9AJYssPsMrvUE2LGtlADb42Ymb+9qQDeDyKqoVmtKzZfK
Okj1wjrEdnMc7CUNutaefTr3HunalujylcDgT01DeLYt94lJVlduBLjcNDXuKvQdm7kGe08iqHbh
LhS42ca7pVMABOpxFiDvKQ9GWO2hu+tUOogFESfdE+yV6w/KwoYfEK9widLWDaToeIHYLel7IMSt
r/bhlybt5UB0fX2HTfuJEqVgNM1pw4HsrhDzTWT3nDITCealDausj9UPatcTtsjRvdpz/8meyg9S
bm5LbfqghynvdUdLpxPFsofP/jBONRtSI4XW01K2MDk55G1IXzRkjaSTsSWCjBBN8xBZOqg+kEu2
032A1do/xBLUbrMAPre0zU0vTY7btMb4YMWiuVTG7nORzY/pZDwJp/2eLQuyhGbYiso5miJC+m1M
Uv8dYF7b7IEsgr1QhIJ9vq0MMaG9Gibcj0yk1gUQW/D0emODl4O5fdQpaqfpGnlOdj0sYXHd2zkE
aE/WM/upk4SJVQAr3wysOW4QNE+5A3/dYEVyacagx5TKAWfxohxqhVvi7hVBHFKr7+pxH5mPZabR
8ZI2am3xLJSYUzXmCHmzGGMm/CFRssmdwWfpV5iji+uyEpE4ak2aJKgZalXY+Mb4BmrM4UlcBMVY
sn1gY6Qk35pKD4FT412OQDcV4gmYlHk79XSM+vFC6bwnWxJoE7OAzu2qZjR+AjQ0RIBl7eQYdbpl
bcGnLYeQAj4JUq+FSlZekqIHOIGPYz/Ba+Jzz5CH7Pth7KhZ02bV3mejbvR+psIAhcLphL4511kd
6E4u35kDFcVep4ky8ixRCzIBylhqm0wPZ2eXZCRkYKONKp4L/AMLDWAIDoEuj3WPxKHuw96EHBxn
iwtA0el2EmBTw7cKDhAbldh8vVkwu8AfK/UOOKGRORw6zAFkhg3FnJ68mK2t11mdjdEMas0HGV+o
5E+hqBZvEaXx2MbASQFkzlWK2F2aZz/Ku7q+APqIR0ixlqnxNdHE+yqOhfBmM2k/EBaKlO+psoDf
6Rs7vh0o8lddRykQiUZgAro9UmxnzfEIuzsWLQKxoI26pbsCY5xIx8YpE6rwpT6abxy5tbsHCSxS
60uFgU49nnjAlWoM2T4LS0CNlkgAM+WNhGpU1acR8mO4vFStHt6Bs+aGVE6Cgxc0Ccd7c27wnDhd
oxlfh3HQbxxKJZ8B2s/PQNmBW5uJBr4Z9p7ebUrWVtTiAjbydjFop70YraJWN4mjC2MX2Swat6Ha
W1kgRgcZiDYZ4ERtDdWLS2/TdN+bU3fdsNZvYMQhRzaWCxm4/UXWNQCcMdvfGlF9hK0xbevMHv14
tKZN30bVNc13NOA48nhtCSt0F7vgUDgL7vEQj89KlC5bYLXHqTGl7ewgv8D4K1/SQEr8q5j2ssnH
hne386AjwlucIl+ucb3VrWivOK3NSHZ6wzWtPtk4vUKzm6V6jnDCrWhI32uZkgQZIOcATvh9Hg23
kaaHFB8XlbdgHQT+YzrNVTqjUX1sZFTLl2Gr7+DCwv8UHSlrnRPa58zmK9lS4HFTVqY4VJJTu1iE
jX0VSUejNpeLTMq3TTtRuRVjuSqv4knIV31e7/ohfNaWAnFoXn1vBGiBGD3bBjHOTeLgHZBTOhra
1rZ8C4Wt33chc0J1E65vKB4UoNY2wH5pklaUIzIN+iePVV2NmIrDDdntHBKy9k2Mxsc6GuVDRV6f
1dG8CktrQrIhzCsOX4PPYR1edaXu1LkKJKXYmYui7Zqxa1/MxfBUMJy+wOa0A3Dc4W/ppMo3e5bm
VFgfoIs8NIrc7WdeCHok6dQGF+/gQm2+tBE+QoQFwx2AekD36/FrDjp4+XjuRdnVnhBN6OtDz4xh
OdpFCoZ72/dScm/A6o4zGOKS9U1qlSY6xKlOlhv6cW58qOEIx16MaWTZ0ok+m8chUroLVWJvtrGc
RcaoE45DFDQFDmG3zcXKt51p87x18tmkdjhsWvjnRgmMUB7kbeJgBKyAUg9InGWR4ZNY0tsUQvd9
aoU0ow14Xukq1pXqZWT3JTZQGQzjpovpMPBxlEMip2lIlBcFmLFdNS0m3UmZZZfaLokXRTlAqIDz
hF8kB1CROPU3MJLxCEAUUv5u7OSOezoQ4973bR3PW9HzF+05fGs5Cu8S59GnUooLY+vEgAmbTZo2
OjO0WhfhPo5xyIDvDfX0MGdiVh5LO2fxLdUySXZ63VLBbJcwQC/oPMuwtZm5ErEFocP/w2KtUhmN
2qSk9dSoNdsroAwFbg4tKfMbc5bH/kZu+wk6YCtJSxjYeCTuevBAkkvxTHnryM2yBCNnvvp2Zs+D
1jQe9OsKjS5mW3v1sJcEp8ipq2Vk3UOGNLrtgt/Rvk5ri81cE/fC8UNzqtgdsqMSO36LtgEfO9rx
3sRTjgCGrQGVttaYRHKQtUpxSDM5Z9fQoaCQIqeLH4tixlMpxtlG24qxRLpTl+aTUWTWzpbtXcJB
mBoJp97gxN0uytzspH7d07YsQpYDhZpJ9wJ9QP+Q6DqIbhWpWSx9yRKQVvRIgTqmiF6yvcyc0vte
D/k1bTvEeVE9jp15qGQ5YN/moy+ka0HTV6HLIrZFK3aKRSuK0TnRYwqg2VbqK8XkHI65HvFnWxDa
JpvomhRjm3wnG1PSnb0u5w767fLQ19UDOWgwBCPvT7k4uz6UfKXqr9vGGG+5wR8w6axMofxatrND
Bw3cQ+/QsuTVh3kq013YG3u2RNdIocUnprHpaHTUTSXxfS+Vmx59OqZPOkfb8qOSKrSVt1W4qUzH
A5H3lNfipnX6XayWX3IbkRCmuHt4zrcxumkPrvr0GWDuJ5svlO7G5DDLXb1TePuMLPa1SRB7TgX9
B2UEFixbvihjeJXXxn0HM9el9uGKisnRSy2nvoTGTD2ptu6ITOeDXuPh1qvq+zJEnR8aCmcVnGqT
NR4B4lwM0MNxM1yZrXSbF+nTYrVHba5gBmvJwQzzr6Lv0k3RRpKLYyjeajEKzLGuPq4N5Z5kIyoJ
5xz3cS7El6Fv7nvZuqMdLvaiaLiKdWfHWWrTRv0FunuaoemE9+IGHGrZshlFzm7N3dHIlVtLQIbU
RnGTOsatYesbAu5PA+xjV1Zbh090aTyNEhN3truPLNVskcf0spcU0sWRvWWr+7GKuk09Y0avoAl4
ayXKPOJQHMRBLcHtplKbb1NHfAtVo9lGo/3chBCnUbFVrXNYovnJ5mgUCI0OeREZ3yaHTbnAMKU1
o6dB2x8QX3YeGeStnuQfUw5DrC3EQy+QXn6Ql3p5of9kuAz15JEuge5+bE1vkHXY1NOeaYBj6zQF
UR0emmJ+zAr5AuEvVWJleDOa1tYozcuWsxv7yyC15OFp7vvLRUw3GQerY21Z96jYU5/jr8xUr8LY
bSZ7n/QpgRU68z+Pue3PeFjv4FFqnwx9fEpgOvvtgKSG2C3HsggHt1GEN3GNbsp0Fsl32ky9CFWz
COZW4fHMwHU3ia7ON6STb7IQS3nUyuNFlYivC144jAXmeMliIyAdzwo27Gm5b+hk2fN3qJHnaDn1
G4R4gyJJX5xasv0K6Tptnyh9ctvpN0tvNN1W7zWhbsdhRfuy2vbFhyyc8Km0WRs6gT4O4bUOnAQ3
rNyxi7rmFDdVmxYtU7+nsY+f0sNY3rFNT4XfNUpcbzOkYWnAsUcHdlqpqRztS9seiEJigYASbLd0
5klQyjIuqcECszgzDjEtM1bzi91j/8DKOz7YfTorMLRb6aIVA/+vWhCNv5xqm3A3KNPpYZhC9dMy
IwK6HAqq03wKeBDCyCO/ep/Q4I0noW5tFDVWY7Jha2bnAJl/IaJNA7Y3EoARzAlzGkyDsbCbbSqu
SkKn5qfSOG5kI0ZijCxoQK2atG28UznHXMHj5sDjjAVbcikp2NLSa1Z9w404HHoOVhE2FTPbC9FF
2D67vLyQRKt91yKtfiijhY5zyYx6NrUT8bdWcPAUk/xs5MvHSNfSm7bubG5c5cSHSh3tYTMtKtKE
oW4PHXh/6jqfsCJckMo4ttIsCr/pVPmqsCbnoixgrm1qHXHFFq57szH78thoyD4th4NPOvUY/gZK
E0PO9CnxmKpJVC9nXshRt9QLKqGxVw7ltNzoY85NqBdPi81L/D9+X7NiFlq/pfH3SeMUeBFby1Gq
Em9qxmp1m9K2JxXPXWTPuzZDh9nbFKrXbXHEnsHe0sBgPCnqU5e3c1As5jfWoeOkT5dwz+8x2cTh
nh5NoJgGMs9n2SmdexzEKvL2NumiTd72d0S2wkvapBVmCykbH6JqbLVgxHh2V2FkVJCUCKkMFI5z
s2+bldldWtRnbxfdoiezSvWR66nGJrvQzOpKjpFqpnHM+WNQaQZEk6F+a+XuqBIMCtXK76S2Zss2
VlfoTTaJLL6kCP8uxwqH9qgun9JEjrZIkBS/HK2YmVHdsBh9LQgPsPVw6hwHeMqMZat3HB85+FNA
CRzYcbSrqpw/Ekx6wSM2eazW8jOA6kMiD9XtNNEg2zBhblmel/Ie2QpbPnusNfOm0nvOk1Gxbr2G
dpYuOJI7aOMawb8iV1bV+JmJ54jTD3enl5kz9cRkKxbJSNEDuVFjZkp86pT0I6KbCLehk/crqbID
9qF8/jpWYeQlwNNuWbsjMkA062xGPMUb1Ovp4occ3HOPAMD8oSy0gTberm2+lQklmtyV1pYzLyvG
VQqIUqO5asCet3dNj1/etRoJT7CeVthxHTOkV9Zsacf4WpeO9RGfHoG4WB+kgKahsfR0XJgZjV1i
3WZq1IBsJjtrZPSs+N+YSKXxi4gzAxtqN1NTTAtm4lLiy2lVriNXAc12Tylnd4EeMbvRW836ntQy
mreosnYFIUX26h1hPSEQ1mrE41zAk8O2yHvxaKElglI334i5xa8Zye3e6vuXAkeLN/ICbcJ+spSD
KNXaw5AdNJXaOYd4sodlhyux0W7TGcQTX7/NokBwMOs8DqdOehgdwC++AuMqumhNW6BRZMP6rS5s
rDOFbM/fazNKnYDEEjycLstGZ9ti3gmPo1mVh3TKQrHvSn1IkNmRXdln9ObA/+6Vdrqga4UjS1YT
QQ4kk0WDln85SYnECIJtSaHZ0UHkBHoDqV71W1Hbhddrc86MV6nSaW60p481JdGP8VzLSNP73OvS
QvESolVHVLLTE712X6pFa/YypsmjToznRQ9XyI2MsPZ5tMx8S3kOeoN2NPXHIcsV1W1lQ3JrCFx4
PnrnXsviZceX4DhEoxgbtQGhF08uY2u67CopnsBKamFUXFmZmJT7NoVruWGOKWvwgRC7dpqRwHUb
Jg4v+0wN2/R5aeT6nuMgumcOrvVyk7cjrr4preBq02c+Gw/GIBt50DQyCo0mMaZlR4kgErGmpMmE
yJ2lP46NXJZ3bIJFeavZc9I8pjPkqH0XkgulilBykL/oCcd4r6stpwo6tHalr9qlY6SumlbFcmmb
IfdgLHv2C7jmynhXVrgXMChLWfrApaiLazmc3jcKkmrWKUeP4tu8rRqEztmUfQrhO0mYSmRJ+W4o
dfEl4dl857itFB9rwWEdmH3lt1re8WbGYL2/9FFa11vJhOmK9ELmdxxJChIcws4nX4d52X3RJXQL
gcQbQzASjNpF0mEz2qzCzpFHh/0Di3Pl1MGUZYJDHFlYKARKp92HrEDKDVu9RvP6QWsuI8kZrA2f
SS35/QhZwgsnuSO+aOgO/6uXi6dM8mIGoa3Ft5x+cIKONXldd2kUXk9pNlVk9bTYfmtDLURrKsHp
OTCxSZlHaG5hhkAt37itUzbr75wnXUCHDlOZCM12Ojp6Hu97OuSoossR13lpn/AyY+xLzYBmU3nw
CRUKfgGqhbOtxZd1RK2WR9cT9SJ8Q2lvQe4kByBFxWB+VPvY+jRMo37HHMEu0BISc31tsf3v8NN2
bKScke0muY3ky9BEcWB1TX9cqnq5ioZZu0PrDiMkss3NWBDdQYy+r7tOfZrNkJZvtd3RNTgFIXHP
R4dfdceOg23SkojwmGr15KGR6AlnUtiQL3V5VSlDtrNF8xwrwGllGXJHZSAlmZlyj01uTi6EcyoL
1dBkFoz0YxMm+sHWJcUThraX7OWlMEeqJmbVtThNL1MhY6p1hD93yoPdtKE39m3+yVTK8r5jDt9N
So5QTHR3rd3sytq+0wnxfdUr68Gx8oMhs7Ln7El8HITmfdnZl5EjrpoBQ0VezVvLSeF3JVYQZdGy
WSVVT51tfxsQ8G5SbVAOFtK3GkEZ3TRjwr1wMd0ZWO3J4RDYMcy/cEX/P9X4U6qRbqy1rvT/nGq8
/5//o/rj5rnPq58TjX//2N+JRl3/k8ZVGi1IOlNqQkPCfycatT9BdpFoXPv6KYlZc5D/TjQ6f0IY
APGwglD44bU45N+JRuPPtYOPxCQtDvCOaLn5jUSjaZ7USOlEsmFDymQZ1/5ox+LX+LmWYtC1zOwT
J/bZN5ODa0xEM8GI3/klm3v7sRu17DPWhXb0jLSCwtfipMYCyGKICiwdv9pseXWCIBHhgxAd91Vp
tfHnTGAtcgfVCa/sCAbvNgtjHX2WHknTZ4s5uvfHtjef9HgZh9tUU3Ln0NMpm99EmNLky1o4KdmB
grSBC9xG+0x7a3YtQywQG0UM6ItrNY8zi9jsqPRfxjyXL+Sx6y+kohepa+Cj1si+JVhFic534Mp6
dmcouKv+c8IWTfY61Rk+yamclF6OB812OTtNN4NKLstFYpV+M6MuiS4H4eAUkdXUkYIRLya2WlkZ
P6dlDT0ym6NGvyycGprfEk0DMnPbmj+aTHWdy3YstNyqCwfKIMEcr4d4pA1kgCiCxbFZaC+RaOZL
u0rpzlbYPhsubZqIs+jqkLugXKrVlcrWxAa/TgCYUgxq7j0pCtuFrke1v0yyCPoc7HJscPWkSG5o
qg4RYXn1Q8nKUn8tM6e/79o0+d71/XjoEjP9kOmaPHqKMPHeR5msH8GPNVdEK9rb1ogAP/Q01l6Q
30tafwkT1NGh3WWOhy9pXB1givIpVFPzGJVak7srTuXF1I0uZepJTNu1OQmm/izAjXqTUzgPozZH
zhZem3Mzr2FVFPC5HbuJ6mBITAq5XNHonLg3YCaUr7JIrbtwHqsesZQVHQkxcRtFNi8NXi70iy7C
JSW/4r2meKTIIG+T6bQxHUUaKMfATkTxOUP0ERIiL9mI0B9YI8l1yq8KO/tw62Rx9ZXvqvgyOB32
QSGprPO1PudPSY3a2nU4pN/T2o8+cCAz+Zx1S34lKOqYPBaf8CksRIoksJwiHo/UFDcL3HPTRxzR
UuJRxzm76JFQfFXZ/4u681huHEnX9hVhIuETWwKgEeWlktsgqmQS3vur/x+o/xPTXX1iOmZ5dmVF
EkwkvnwtDfVNkvIBRTGT0UBUlfflymn+mRDph0cjFeKlXZNxlw+0WfiJ1RMVkZoTSnqz4dtfOmeV
SNL0ujja2irnnUm5UESPVcb4n0YdeLilRPvYGYM4y4YmWl+5CSBh7c6COp3eNknUSGu4O3qYYbTV
auFVqhxFOpDUZnm30BXGKUqLtMvJ0Tm70F6QPTKOpgMycE0rQqXsjm5aJFci4Pkz31POJR81Mx6+
5tmqEWANmX2ZGeaUBGWbzNQ49ZMLK9NUzvuoz1m8g0tw32RbdnheoH0pLxBe/QDlnT7pWpnhUGfA
0Ql/EEkUpMNaPtOi28X7Qt9gIMHSjamTYYBkM9A6L4zmZblUvVdOwH3r9GPULGCEZM4THM1i1cdD
QrAsje04uDI/oshJcWaBhWApWysTkrFhpfCx6wWXVgDcTOpKtLK6GTjQ3Edwyva1VQ32HFSMUPe9
48Z5sHI2dmkhtwlwRmuX7suJ/LIxAwhhZ4nTlb0msqyQwa97A6aW7oVLrdMdZUrJh8Mgp4I4TRax
I9O15H8rRfcUCLf+VROA3geD1WshNSf0/lpEoWzke9/cjoljMzt+T2OS/e+ktdXEUZRJtturMZ8f
GcRTFB0ycl9EMgkXMMej8qw1lfdarnSN0qO3TeagWxxSsm4aObiaFAJDA1KFo6KF858V0x0AgEFr
4k5lTX4PHgwJwEK2x722DZqNNJeLCSM7sZeE4ZVhba20SOeFU1xGFZWppyh3LfCktN844Fp59IOX
zYL+VNcfY/AvJs68zKjM3sZe6oQVtH+7uB/x6jECGlW63CvPKT5np2Yb0+NWO/R9tKJYmPsL2H8Q
qoouVnpQO5l74WwXVNMldUUwv6JBeAdMMUzhUjrWrykeNdcHzspaOhfmCk3K98TOiZ1uICvrygtT
cxP4+yRnXdNek7RnCjXJhzHbtoKoHwsFiTav1Erj6ef9IRyzKl+HKT85gIRUx2Nm/DRdGPqz6tIq
DyJwE8rXOhUbCAIpZL9Ex0dxUkbC3yvVlOscjvPiggrXrWHSHKqgqCuajN7WOYHXnIQHfIJHnO5O
hZjmISlgpQ/lVIrHhmMZTdWmgAHPqXer/Gkk9jR0k5oWz0mP85zM1SEFnk7jkqJh20rOHXACCMT3
qQpibfB8ywTQE7KCQbKtlvh2s2wsdRJMkMB1IAaPUm19eRbAIQhcOTvWbjRHmIxMbgihm1g0O6uh
mH+t2UpoOnIPlokoBusHbUxDcVDVMP9SXekUx+77ECiGns3KkimrrFJjVD9C4xM7abIzbpoaWtek
qQYncObGe5vcDBxisLxsgv5xI3GgWxMcHr+2d4mISJE8zMMwC0sR1d1+JmiC+T5aUwH+tR1aeS4s
yZFyTtDKTCychzYSA+lJx1uUdqk+1OBN1X6yFk5wlbZsVNeaLckhMxaeWd3QAYpSqcztkE0tb72i
g9tk5/BWh9pB0ybHzQNK8Znp5+Uyc6GVgnHQugeiAXA+QG82MJ6UrEHHmxkH9WwkOplu+Okzs93y
mubwZg3NrpzvDXZKy2/6NDKg6eBmj2taWo2vqtKE42umVN6otQTahaTaflRfc7jOlpgrHze51I6Q
9S2uIB2p9AX4qxGf9AnI8BRNkXCCppE8QIgwoQOn4fBt+yPSu+7EUZALSW1ABYGkpiKMBl3/imrE
N0g9asIU0nUs1REkSrcDW2nLGHaLElXYlE713MWzTuosio9L0ZkCyZO5MgC4k1oqZFwJ7dwZ/ZHP
VdtG0Un1GWtpQThHMeCIGJqIrh7ZqgVZ8AtWhaO1SslvPU20HSoGmtKKr4U5tfNZUR9pXSDKYBnj
+ZbrXYfUIz9VyDzbF7uCuBphQx8nFBvUEHbTEB0yZKsnM/t+ExW30qnKBQdc4gBZv8JLkJOM3eya
wbJWcGN1IwzrbCYaHKg3G9kFK9AhTGIYFnpv6kgaIc0tzht5LulHNnCcC6apyJoDh1xKDwHeHXOv
tNxE2DSPyD5oK75G5FVuTy9RHMpe4yOUWpnfI/gDN2+jnk+D5BCMMxr6+jlCR9HvVpe1yOxFQ3hY
8QqWbwmDk31H6Rrt1JrxqtZp/pWSX8mSthb27xY9N9o/BNIA+o3FIm3LBtglpXEamFLoLORyFixw
Na/8e222WUkuvCMPs2FqHjL0Ey26MUdjOi116wfXlS74LDfXEGyxvKgm8Iydo8/pS96tzA+J3QgM
utSd9ZSdSfMZhDZ1dhT+sZVFXYJmKUkqZe8A4ayT3JgTXxUr7H1PVgK13kh72FEIbrt3OTKxiQ6R
x4RqVh9eI9UCD9tb91K0Dd315cCEaKhl/qrcbHFh9Kyi8SO4ls5fXJV/msZWe8uBoxX7tJni97od
+4LWt75Jwpz6mSDP6TINqWlFvhevXfdlugbyOWCp/NmDliVR1ZPtVWPNqU2/qLPeqnRyntaVMs8d
YBBqHtud9B/AKwbqC1pljR2yzH6/TKRXhJrWDknQZqb9GsmFtna30Qtf9AMPKYdrO4SJ3lOkWbla
e2a3r8Fy4k49aonr9HcQLeS1m8tQUo6FL9vc9z2Sxt04gjmZEujMVWP3xnqOX9du1Gw/1TyhfOVN
CQnB9AQMXErNcndumcRzQLFmTH/nNEiSmdGusRnpTAZNtJVckm3cI4iCbvxJlShBm9ya0Qf9t17m
TzQ43i2yMmEK7Hj1jRw1wIHZqQFTclSW7vu4EtZxAkwHlojBq8dM9B+umVeIB1VmWTuzM4TGAIGj
xh9TWBJ2ZTW8aYlh3XNKW4wAfeFK+IVFV/Yhq7Y1QSC/XYbmPGiUUg/mTMFvS9poOKRWipZKAjai
y5re05mu9i7XYg1CfzU5kbRTS2N0zfNy14qpdcJMiu6tLbbN0Jqs4b6d4koe/nTA//8y3T/Lcn9T
d+NdQUJOrgeJsuQb/q05ZsgTZywqPp9KFoWvhk+PIGHeoOBZY3/kSFiUdbk3jVX9g6vodzfj92uj
AuaIS5SoRfTgX8/pXloJGMDCRJAwly9FE5m01TOF7bhKLT5KhSwOfJ2jlU+r6riAvatSD+FlNXQF
EaXiB3jrRT3U06pfNvayvtd95nxoJpWKkPI286Y+rdFz5wyp8Q9i/98sKN9vnoA9EsER/INBbBf2
T2J/EjtyI9JqWGFUKbt8WiX36Ob8HNb2v38p4uDBTMBPsLD9nvVX5yJuM4L3uc/QTkUNVfCzSS9v
5jXtP4j9N2jkTxLt7VNBh23gzlbD8IeE+0+fKs2cBmB94lN1ojrHaHwP6JRoo9ZcdY/QoKaVcUj9
tJjNy8m0/6kH4jcHyh8vv3lBqJxgSbq/hSYQaej1fRmjqoYQPKDgNLhZWrZYoZmcZyvxD/ZA628f
F18gxgbMgeQ1Od9O8D993E0hG6URcjcDOvOY5eUYNgmd0f/5Hvv7p/rrq/y2VDK4EagTE1GdJlym
S6fy823Y0GPvbhxN+x8sNcbmmfnrl0i67GZ1IRqSQ/e3ufVPn8ouRVEn0lFBv5gJ6ozZvquXigHE
LTUDOCOrdWP+pTtRFh3jTNcPQ1p4BRQQCA5o2do9s30xtzEj5uSPztB0wdANRnVcgHdpEe9ro/dZ
sXTFNy3wMDKC7lGg2n5LCIT6p3TS/+1LAhUUAm+UQRbQb462GHLWnDn2QIlWzmucJS8YkbP7//wd
/f1FrC1TTrDkhYNM+DfbIZB0jqae2qQlNylOFhV41lzW/xCj9J00+pevBvgTn9fmx7CJifJ+s+xo
I9xjnOAOXNdGMDGVCBF30yizKzPP0rd4WJtnUknyD9OOTDMQJOsUfiwGs/SbtNA49vaFa/CcYyIL
kra1fv2Xl4GJdQtzQ2ptYXWT21L+09IxF6vBZukpttdYXdm92QTgvPo/3BC/x1NsCC1tTpuvSMey
Qt3SX1+G9ZYjIhvjwJsXWZzRmKduYNojrmDRZBmq+aoqpg3hHH+t/Wz/qGYjJmAvb8rHyu6nn4lb
00P4nz/7327T7U1RcmNgR6MX5vcMIW1rTKSNGoFm+15EA6x1Td7usYe7S/y1+G+v9HcmDYmMcmv5
JHb6r5eAoc5FcVFy9GOvOwrKNTm2/E9A4X9Fa9zUn1Ay7ednjznqd0fUXzxV/4ddVCbEwZ++7s2n
9RcX1WP1/hM7Vtn9mdkgfHP7X//DbNj/Ij7KIPcNB9X2K+PfzIb4FzAPeyN+ZLgFvrN/Mxs2fMgW
VY7K2cD2CuHwb2ZDN/+F25AthQxucGqigf8bZsPASfjXrR36hF2QH4PVix9HTcxfV42azcIFb+Zc
aC8cZUy5IQIzqiOURv3eUGo9zRYYxq5gT8EaTSH8D7Y7+2Yah/4+6loLylVrDnWWdgFehPIQJ/Gn
5DhzQ16YvOBo5KkdZyfnLGobOXlGo2dYeEzH4HDji4jt6KZqiybQU7O6Su1Re088ffppW/m+qu3b
xR3FiUap6two3fsxF+qFRPr5zaZ66HF2y+jeQjVxXdaD/krM2kDQat3ecuoPkKd8DJ5WXhpN0f7o
01juI5y3H2NkjPQzuamxp1SsufE6t+NYYKOTHsGDBacydlAeRW3Sg26lgFc7G6r8Jne94jgN6Dhg
dB9QuOmt31trhQ5j6EjRjJzrqI7WHYV1VUAPfHsXlxyJ+ynozfGtIb6qAcCrXFTfcM9yoCcl2cRQ
tkieW8FJN0d49GPBx7bjqO5VvlsUF41bnJx8uaHokWPsnC+HCQMXQMiS7WfAXJ8SHs8KJjclUmam
wiGsMpcJOMWynkZDFebzOPoWRavkWzgR1WmV3vjVELmhGyWiCE2zd6LQdcohf0e0QemqEqU42jAX
3kmb8a6tA0p424x3bLEXKcPyU59N07mLs+JmjPC/lmbmHWmd1wK74fIEy7iU+1rKcl+V+G+FntXu
YaUTvuVPi+EnfsH8ntxDJXal5XDYn9MjCbChls0hJ5XhMkvf9fZXXBo7QxIjY2XL0Vbq1Zq651Vf
3V0RPVkrYFRUHprI4ej6yTTyRY7vBSdZQpL1T6GKH0PqoHMykxMq/1PilSfVToFjaldFRjVpP18v
FTNoVpxlFJ2bIj4u69xd69zjgVF1xznWfFoPEgp79pxYuwAwMCiWhyFJDDKWFu1uyFc/RtLGQA0N
kZSPadxDn7e6FY6pvGLGLcNOn/1Glkc3ysIk9U492iEJjjkAbs7G+OqayWFq5N4Yfw2RdafZZOo7
91b8HC1v+gzUKqMRha3ofXMmccJBhHa96m7IOjwIQmHWApguX6xdYrZZMI93nYMQH5Rmbw/2YTDb
ANNdiUPyOR/mo53hHZHNNbGhT3BQUFXbz7ArHWpd+cI4G/Jrzb1d7NZB7C4nxISHZqj0A3POGEC3
/GhqQH10MY8qcy+HfGkxcDX1F+PuTkjtFrlUmNvejz6RP2KB83yCLgoTDbl2L66s+jNBNTWuiHIL
ByKlyVwPDCPT/WlCJZrNJVDFiK5qqg6TmX/VpRBvZeXBZaV4ASx3QSHcPetegjETVrLQjgXi8dHz
9ng5wE5X42uhX/EQWzQf2Xe9UB/ctc+xfSxF4zfKuymsqzUzPy27u1dC/Zgr3fO9Eu7WKrWbLlth
3Ybyp56jAxkUhU7TnN7HWayjfMhvImFcRbJDrdLQ8qkpeRvpyTsCn2TXOdOtWQ53s22/DnPzbMPA
UT+nXa5p/pA0rLK6x29fdneiz1/12GJ9ZlfV0sEUlqhYRTjQSwWqiUBh7PVfaurep7Z/GsBtwTQz
xy9y7RfPk59EIJ71AV/J5D41cfMDCm3djSp9i0odgHw2gt5eABM7eTfIGYhC20/JcDMOjk/HYXNb
IWrHaJnuJ7J2uupdVizPjPt77cTZ6W9jcw3K6m0uxz01ppcp7yrTXsyZsqoN8FVy/RlFbDlOevAG
6DYrJkBLDHXQ6Ynf1Nexpx/XwQo4Jb+NU7H87Ae1Nxi/jOxHHZ0F26AQw9fi9F9ZqgEHGN4OqGoT
8S5feOHuyHSiqIBlsLb9Oco/UCQhi43foib5NZsI+EvtlucRazY+Q41hSiFHjqYt2Ww4jaY0X++b
wrdr866JundogW7vOeUzpVS3wPVULVc/pDMDtHW/VnRoFShOYCbNqYkol4dU2JsQQD7aJn+1x6/B
wFOxiqdFV9fE1t9Gbnya16jc5dkYuHVq7oaRI62Y4uyUdo3jrwPswOwZAehvvqNKg/kzRX6ekMXr
x2P6Q6nytpgVAkBE0rnef2DyfZxF9+FWljoXKfIBFMdkoDY15EN06h1Ozf05gTIH++o3p62xX1BN
7aE3VZCsJ7u8StFG2dNwpdL6w/OsiT/edMoWFxnpTVF7+OiSstn1WoNQbuqvk6V6SgqEfFYU6oJv
otZBp0Zu3RsDNbojqvtuQDCJPfJ5Lrr+WRB/8zXXCw4wg7zf3OuO05bmsFQtUV+QWT568dpvsvma
TeZdT/KbLNK1u1FPwy4mmcftrLNrQCs6xsg1tm94lAPIcq/WFoJN5EDN+mG3QO2mTtD2gyUIvqF9
I2qbB5mYoRr19xTqfl8O+nB0p9rX1XtaNy0LMdl5NsSQZgZthLbSbNqLBkb5ZrJ0dZxACNunZrFB
RqGfCnx8bW8xIBM20CItsCc7yL3mtoPnafX8CDi1j+MIV8pr7JZY4uK9ba6+LJ1dPt6OudyljEuT
oW68Cigvy4KU9ZtrLx05qHF8Y9snuiD9jvZX3BVB7XQXRqTgijJUl3x/nsHkIAIVf0lxm5RlADh8
iL0IXApYv3yH33i1id2v6V+fZnU5OHkwxdYz4ji24jKotnTwbHpz1hzpOGImHaxNpdU1tth93LlH
HbQ8JR/VG61T58bhYppnW18AdWncs5N9X9NxCu9dDcULUDb2qKVGVHpV982DkONbl3pIVrUg11Eu
ZmYApbgv9QhuTF3a9q+0Mm9FC/o76UcMRoeq0u9iloppfg1exMaCxNOE5tAfx2EO5KqISFZvxVgH
qXjuVm6dbr01+vymhSZCQAen22Fbq2DmLEL/YLMgwdMAAwZjmJyDtEuGAAHmo8jHi0waeI9h2DCa
Y1+s9tqA0XRaEXxLK8gHC0Q5XjdltZ37PGUGf0Ciy5f+yBMpsJlm4tzTz15J9TvCwA/Mt8uNVbt7
B63Y0nT2hTF7co/k491J8qsSCcnOMRI438E5xWvjj252Qy/HHlndE7m/oSPjq6ir2RHlrnG7+orK
4T1M+25A3rgb8cxd43WAPj6vZfvVagw7wHoOfP1C20GDr8F311EP2jZ5bHQnh6qUCY2e+FxGWXBj
oHHIfauxghGcJC7551iisAIjSYYj0pNDlMyH0tZ/dZhFRiM5Ta4bpnXEO1U3TqL9TJIoLAce8ZR6
n23P8QGPr+NmLA6idfe5hZyzNR9RRM9BVy9hs6ANr6YLJJRh1677yPROjHahZSSB57ShK6+SXEPm
Q6sq5SpCs/CSjZBlevQaMdbim3nocohg1He7OFsOvfUZ6S8G2Ctu901+qQ2+0eONyzAdkXJk+RIJ
aKqsMLHu6+GaadYf7fzsDNZO9kfdGY+QyNx0iFHMod0jY7eZbFVIki2ThHEkBzgosqceMZPVVpfm
CiUl8yUwU7lPuCDZIseAZEmU0dNj0b/UeAHFnVyexiU6IibDdtDsxzh/0joZ9psfVyONYNQhbwzw
/elWH6DbC/EpLYnHE98YETOGnuGk5Tw0vcazc1g9+dSxMSv5Zeibgb056YWtBQqnaZzA7vCHCSM9
pgZfG8dHchxCYi123kDu9Ep7SE6XfApxlSV7fXXYhJsHu077kEEYTY+W2IzmV3r+WHgvaXOaSoyw
uXMhnWXz6qFlD2ln3OUxtAqhAgkWmh2u+Nr/Vp1UEz8U2ixKt2elvqeq3DoB2DTbF3rAZpwcBn6j
xYzz63nM7WDNjeKiziSeofynKNxXCClm66gIrbF9KDedPU6NUTMCQ49vC4wuj3pTLQ9xFWEOvrG9
+KrT9d1slHunXw7cBacYjU5nt9PJUTZvOlflZ1s37lHlVQj2iJgjPS2oZThnIxyL7rv+qShSlK8m
ZhOxy/R2B57HEujTx8hMQjHx7RsZmfBm0PCkwfKH0UEfkLxYRneZefpuMftDlxPvXQ6Sx2qPW7BM
7xohDp4T+/mgoTaGmYkiIzQE+8lswyDrdRfkC0YpGSFixyRXh8myPEqdPKhpPUdZcRhNvfSHytL9
jFT4C11UOxyufmYWuJaRwNjEYuzXHq5TeUEykTy2xtI79u1z2zDNlMZFOubhiCsPRw+SDbIIytpP
XII5R3UPFVFd26jY8C+yA85sW8bzmqA7s7Trqlu4h71gKonXS7ZYCPwEmR3aWqp2/aqIFiEzy6iY
4e1UEr9MTgD7yZCepc31FWG6TkHewDQX3nWjsks3/hw3X7b1a9BepznJDyIt93O8nrzavu/N9ixw
XxOqEqbe8tAkjA/rPYKTXZT9bMSjq2h15dtKOA8jHb6eMm18qDyj8Ad7OqLS2bdxwbGSHY4kNmwK
80lPIaVQUw6f2tyzvaBkGyuDmi/MlZWm0zM8Zjdwvr69RK/4fU+I6wIxM3AmRdDrprtrtDo/u7N5
dl2mVWR/Ybxo1YWMW+XLoUNbyEa9bKosg0NsAE/alb6TIc/et/YcEchh5q46Y3PYfAf63PzK18q3
RpKB/dZOEKtNYwrrw7hWPC0Rqiysyxwhk/4TMfqlyrK9B590LBqZH4H8WYGxJvrLZW7cUx+T7REW
s9DKI5WDA6JvNJfdnfQQ0AejVrvaRY113MqKwMS2HyU9a4kvmyGaSfy2L4lcUDJs5MIwmWnvjqvC
GZ/kDiG4T+oLd9VyteoyoDxvn/PojpajyUIKUUuGKZmCm4OE5RzTpIMdyRsJzwULL3co/cyLCMPh
0Rxp8yP1rP3lABMERiOmwIz6/GVd8X+2SO+bn2pp4ylAXehke2eOb2lrrOqbomzQBzXkoWhBM5aJ
CkVZUWece8YTAMh4UeJxu8l6jx1yrqvHgs3xhHIb5RhWa5RJTH+bbkT7mpFLXA1llO1oYZafa0HA
I3V5kfCRZhMAnPcRfh3TuZ/7VD3bXMMQBmlbjkhL5OrUKLV4ECzI3MIuKYxLoVW/Mqxze7ty72uo
3qMz8oFtvCo/lkyW4QgxG2JAZyAZKF9OE9xyq3LnYNU4wULV5L8qWWo7GZMjxLm+Ort40V4tt3Df
/hB+MWFOj8TiuG8JgDQJeIrfd6IAOJG0cT9sp6sD8n3vkrY/fism7SxnhxMB+nuGCNdrk7sOhd5l
NihAH1kt8V2VepgYu6rpT9LU5HXGA/Aa86O87kmcvERGRGKB9JLzFM3yCsM9F3lpTkbrPJqOWV3E
9eAcOwd1gjQ4kmWZ95GVJW+Juxlf5JSKI9K32l/X6R2oq72n1WHaozTe3nqJZWYtZSgovQumwssP
Uluah2kVCCyyZHtPfdufus7hH7YNPw+cKJzKdPT8bpNqVR4GzWnSnkidi587Evt2YjQZ2beX7OpG
Hqaxk1cxCah7d1i7Y2UtZtDZWX+app45entNxGDzo1yL4YakiO4q49tlOkjiO9mU8V1tjd2x6cla
mfPxJFv3Q5DZcgA1MAOqAfGHGqu8mswC04/ytl+C519UNS87ySm66TyPt4LQAQe2ZvqkAKKCSnij
nYvHTEQjdPv3JzVkco6Q5ABrWPOha7yPDv/lWdWx+apyhGEKOe5xigd+8HZtqzHngrQpt1ZBMAet
RTLsCE1joKpvpwm/sqrtiylhvreSObrBvUuWktNxkJ7M1WRA0XRm1vUZ29t0qGvtoesKPpjJKmqW
4r3T89ifUK2iwtM+BFkaAVeVeGDD+xAeNwRGMtxOhjT9TnmsF86Wr2kp7r8X0/cbWMXyU1vVW5US
IFG1c46C0OKCe9rTFPHGv9/ct/kuw1cffl8gK+anWguGvI4JS3oFm4NrcyIHPMwEx1KL4r2bPHKS
Y5912a6bt0e76TAMYgG97CJyWTDfzmzDpGvxfTjopnaVmFe/KwZ5sEa+njz13kykO+H32wQl/6DT
9LmaFW9z9Ew/k1kZdOnkXU61ev5+c32ElVGzHPueW45zEM6jXSfM9sVaMJplW56gm8sL9t9yr2j6
DNS0XZmeI9Z2/aiBu9iszCVtB00WfWQZdws2No/jA5EzchznnVJ0MkO4fVgZb0QtvELVaE+tHr9r
Tur6ltTYEy13Cttt8UtSs/YpNzzrSfswveipc7mPXEHyFSMa5zeQwZ1laE+VvmG0khcTpXUryZyj
Cx0vLDNgEEdrfmwx3f7x8tRNXnwHvXx/StWS52RhZTkiyP+JAtb0CQT1oK8cbvEZXSypUE3vT2RB
+rKOeCtW3p/IiMFPqfjolHeXQeytF5mxfcDvH8eW8/2u2nnwLocyv9aw2x3Khhvq+4JUXS2OXb59
j9snrFYR3UhanUOijcoLq8PtOiWGGZT9rJ01a5JXtHLAsc9tiQ61Yr9AbHT3vTqnZkXEBnz6gnYK
H7US3qUaef0JlcOVQuP0x1dN8hYq/YG8oVIsi0bQB3vP9x2lWnacPygKbDxAzx0hbUhqcg7+2gNH
JpCItNvkXiikHnVJdlOXtJJ9eNvSmpa/URmfTM5L+5Jrmns3JG9Oa4Cm22W0TwZlPg6eso8RgtvH
Xky0ViRYBVOPOJAUS8HljHr8xbNStrbhuMHsPZpQLiVieCvRUrT7nnPXroXm91Nzg9fWQxNMw8G+
a9T9mDWc6pGu4djkHMDkt18IevDRSX+lTemvZu2eltX8dArzXLvIxwmJwZumh5qsQtm5XqDHpr2n
/7Ta1eNwilb+8yKuWmtqj9wIWBFq7QmN8Ehez3LRZ2lzdHSeaI3bXqgqz28HVHQ3Nb/w2unTk+Pr
UMblwWm6n2hrLwemXgJvj9ZQvznk1knWPr6DjDP0R066C0BbOmn7bpyfCbb4hGHA7tv9ZAe7JW3T
Qbhrv5c64URKO5WobgxjupmtnrPbXJ44c5J7I8YBTX3/OtdEr1QN6VSwrzdN5TEqlneD6u+aOnl3
o8kItRoBl1327WGxnFNkGr672GCz+vM8VA8t5j501afVE/tYVnclCVTmZP6IHedkD/LZcqrL1jK9
u3kEqVJ12Y6+NoMvqWhodxzWPpqpPqI8N/DUZguoTW3tvGx5amP0/AofRmujg6Gi66n1XPgs+4qR
6KdFfV8ad8aTV5qfQ4LQy4suxs64T6YtnCIPI8fbebWDvxiX6iYozIwq9h29bvZlk27Rc82PpaKN
x9Sv4zglHaQJZG/BF1gnhrM3LRf0U1tU5wh5rmz93p7Q6XmlPhPi5/rxbC1+O8RPY728zKqygmXi
0SAHBuQ2a4IEXGznsFkldnKBsjg+igyNmxJ8IxM5a/lc9qFMGh0PfSaOwolM8qCqp7arXyYcmMGw
jmlYa16+dwu0qMh6MUSwSwXeJDkiVylwBT6FGhzb70dTBXY2Lw/d8KZHMrBRWAdGlLgBekR4CIwU
F14+E0oQ089bczPtIpHPP3IG7jeCidKTtppDYNu8vRbtwYFPn+8K2RsMlhJkf5TjjUCBiIxtXMMl
zfRDsXJymJc1O3iViWGo1O5areOcbRHSNHZOCCWZ4yJvrEecRx8wPvmFHplLQFAbKVrsFHvLdpKz
sQ4jyT1a9zzqzYD/krDDyo7aYEzJ8OMFzMPkdNlXNgly0wlx4xzVasVBr+3s2jXH7CWhI/AihUbC
VxMTLeNwvOtq5NUYcb0LxcLOeUeOe+psPd67wjWfUOl0wdQytyaTTDl9zPQ0DmIwwtbB4rqzFxvE
KsrNi47akL2aCr4MW+lvM2XETGqZRRB13jQBNqfmnW219eUocqIbYgQyOTaZt8puaJly6kKdbVXD
fcV9UuxV67CJRnxBO61w1x2ZIvVVPyTQh8viPmEWiUixlfZFbhJeplvEzexkzb2bI57cLQNi6J2h
L1BFigFuh2bQxZekvzmx56KcHUHoSHIDMImqm84ezLPVrN4uHTzhe31X4tio1eU85AWTfF38rCUK
Ic4lHmY0rdE5lhsvtWzmDwNq/YRPIfNlX+Ac2EjrnW3TQ4r+1WVBErKLgKVkEhW9hxSdsCHABjIV
AvRYI34D2iJDi+4aRZEhM1rCE/gyUl70kkGh/Mz+H3tnluS4kW7prdQGIAMcgzsem2QEGfOYMb3A
Ysh0zINjxm56Lb2x/kCVSkrde1WmfmwrszJZWakymEGCgP//Oec7K0xAVxbx5CwX4aVHQOAwToG6
IjGX4w2r8djWi8OfXoDCKML/e50k7uvxyDuOHofhsg6bdc9cZ69tF3DArTCbruZXm+zEPC169+ux
1RHJBaZydX0MUXgZtKOTpQvYlRZWD+KDjwD0OY9MFtvIPQig3SnU9egq7fm1N1PaT1/aEdybs1Zc
Z5oPeldFUibsbkcIc0G3OPAjO/MyrvARrXIOab8etBuO+lCDseQT3cdDrUvO+BC58nvTJPq6yvgM
8sXNuXrK4M31m/YGvHj3bRBeekm4K7qag9y/t4u4OBS9FeyShtjVJhf+ciB7BKeiFKkDaWpYt9VJ
guwHHoRElFvuSW0/Mvomm6UY5LfWSuqr3q+iW+Jb0zZeWIrrOtE3cy85Y9dcd3YBbdDu/E2vQ3kv
AP5elT1aOivuLtzFAdATCo+LkKVX4u8RrkHxSJxk9H6DMWNB4vc/BFbOXWwcgEzJMl5MnK2ZuYvl
lKDevPMm9lWLTskjVEF0i6GW2ba020s3iWOk4i7xWe85rfPFCtu99PCj3yIAt+z0Rch4UbBRbgqf
r5g72Na1hSx+AxpI2acVQt896PX8mSBeQuqhwdefK7d9TeiU+d5Outj7QUVlM79X95T13sjduBzT
+yL3o0NEWHOfOIv/7PsWim0NKeYrl2TYN4NUzo0HffkEulP2nQG2+2qDSpyNU4GNNbT79s2RnZbr
a5prBT3loh9rUjxIz6QaQh8yX0mW5uCDhUJx9niDBs0GcopyfQl6QoGwa6cUG3Ad9pe+HMAEFlqM
pybjW7GpiGC81FZaX+ZT0wwnYeKlHy2APgJrQ9rs52qQ14UaxDt4lAD3mEiyWxnHgni11h65HHfd
6NoG572qCRyORDiSnW2tl/16uq9JIlw4cCnFpjedlW7axuPLolwCCsQZ8vuyKoOrnG8wOAjgTQn/
XDE8mXHVNehKeZtZdX3qplP0DamOzTzH/CvwmumprvPU2rILesoDIBgfaxaOSaojqn9ZraPKNua5
qq5V2vClKuecfALXAJIlnmvqJWtAjOyBtLQu8ilxWc1x/KWcqpkz1meuTAjiEJg6D6vReQWawd4Z
MI8utlYwYMhm/dYDt506cqFOmhWXDfjhr2QKx/dY5+nj1DvpCtCXOthxEvMxB/B5cnXxMKl2PISs
b6lLNwGB3oiJq68rVor1pM+BxBHcYZ2Caq5i4V86Gb+FU4wLQKiiAOzeh1AApU9vI89qVspD5Jvn
yYMAt01tyS+eObn+sjpHvgLsoVZCJAbrPcVvm7pDzmRUavOzifztGbfax7id7ua6wt3eVl5NkLn+
8ufxnNPdA1nn6i477to9fRjgoLOcSBY2TQML9gS2wn1B2gZC3Th/eE1/Oy/klXNtsS2U/H+jhWzr
iFMEdEA+ZCdcoN4Odqa+o4zCP4djMuztRsuToVP+JYNPcBeA69gTVMJk1MfNHWRR72JoJJGTABRZ
s96MmnA9WKrSXCxh5n5MidWdTpwvzkEY4wpBYo3III3+e0LE46IYe+8T3wDx3GjuygejBIzIzmLD
Rf9tMU1n4eT2+CrbANAvdI5w2o81FKWaU0C0U0MGDKzvh+4kcCI4SLmv9zFxLRavbgCO0x8qm1+P
+gBJIpStfkU5+E3jeS75oGQE4odqBBvGKPnpt+zLomhx3ganHw5zozVmXsfhfBtJ8USaCmzy3GaV
S9hOhB91BerXFygmxsu+kShp36o6xbkyf/S+VPfc5Aa+laXsDvMQzp/0XMA6zhKzhqUZ1xj5CXdQ
gOkEeJPY2XMJA0mS0gxnlALoR6CHUbqvp7C5qbl22V/76Z7gEVibMPXlDQtexoNpAL9WKX5BL+de
z8kjds/hQLK/H4B4FDRrcJ/Ro34HuBPvp7FGMihYfHmld7W6IUieWHzSBU8MrAOMSb6sMLUYhw0W
i8xdlJSSU59TvHFb7G+1OzSXsx0ML2DKvjJuY9uRaOIGFHe+Y7m/g1apaLxWuHHCtjjtJ59e76CJ
H8WSBm+B350nFYe/TUTg9mC5pIv5LJPbKfSiz7AhCYMPxMVyZPwzdjmca2wyIZnqbkSpyod2Ejyk
S3/vUhaxMU185Tg9z1kHtW/eTEbrhyYYnjt9I7xlYF1mnWF0KlAfkRvvBrscrttyLO5ZgaqDDMx8
bud9dc0N1D2JEirITZXkp9x/3LNR6+zHuExgwsEWXrVZ2F3korFwBTQaUCm3EAob2/vC0ifWQPml
YRt4R9SWaSaMioNsmpz3G16PwIsGCawY/F1SN/nlBF7/Cn/FCUFjnsmWKE4bvehLlvLYYJwKY0he
kreZ7GzXl8p97EYsN7VI4a6Eyyuxr2A78hG/zGXl7RvlX1htdpspFnNh7RYH1F9WqxRnY1hr4alG
Mftu01UHB6wcrFAQH1PW/YiLjPt9rd8xTSZc6hbfD9sn6p6G9AhbzmvjWPdu49R3HSSDey3oS6Wv
mom6iq71OHPjqq3uqXYM/OcmMSy/I/8673L56tsyupmEJ3/oBVRJjA16xBkPWWmsFPu2HJRRF1xz
WkvvhJz6Q+Vk4S2Lte7d77nMc7tr332rb86juUQgxgq2171u2EZ7zpUSFbzlpY7QNBb+oQeo44CQ
9ixgp03h8KFHpiPcb+rFv7RkNh7A2wAmgBWo9+Dh0p272Hwvgsp2rixQVFuqCIuLVE3OCfMTfrx6
VCfBCJCo5UTV14+pl+01yVKyPMJLrmsUqPO8dc0t9XXutqAQ+LHLmvmc81bAdM9u6dcNz8LD6oIT
Ftsg5UBnyuyWlW+ZcxIEm4RcqPXZzFL8xMOWQDLH4vHOo8i7MXmVkOeLmtMub9A9YmsmzlcaaiFI
h9e2798E+AcvBSfU87pz4xuU9Oykq+L5Krby9gwhbDl4stpGZKL1drY85xtozvJiySM4RhMWLNYp
qN666pJrCSXzTBTlxGMJJQNqBLYOY+U3KSzYU52V4bUpgvBiyMIE6IXFCYYGlbM+r9VpkBHK5QY+
67M4IsBajuLQl0V31TgtjDiLhaPNHW40+WWLwkFe0Bn64gFNhbaf2VUgkRIYtDvPyhEkXdM1PIr9
ZXysuwp2hApSriAYwZWPG8klfXquGXrxeiKhbsAxVRuyNAJtC/zaJUl3bxNzur3NcyJ3GqpFfm6z
28TxtYSX0i+IvkbCq8aNTnjYFX1fn8VBSE1WSwWANSLq+nUTfSiZhNdLMaXvxkC8Htw1ttj04CgS
jmm49gInZAUZ2/m9BH7+5TF2ns+xQwB8hvxwyfIvunHZoF14s8M2fy6d5151UNjWPXXZsDocCbGw
WmUbaBpWoCqqbo97xdSwsy0L9r44M5Ek3Mwev7sMfc/ED9Ve9sK8aGL7Jx5g4S3CUnj5a4p6FTzK
xrDnw6J4Ji3khYrZho1cwtzVUnjDS6Utf9kFSjBIAjt+9qwC0XdM2vzexlF6WsUYT8FCd5z3egQQ
NlKcdo5LXeJiGCphpahNYOxPIZdtHkDoAGr1bofLeBf43HjyHOquCXLU75HzsoIEyjohA//detZj
y5h4Go7myZYPSYurzreX2zYE/cfgQv3AzI4mJFM5AsS8naaCMIo73mXpZE5NGCWnAScqGA9dc47n
S94A46d3qeco42B9nXlA47NspdoDVz6f6WTb4hTFVFkXnGgiQMlQ+dpNhIih8e7YYmcTqH23O9We
ZqUCYmhPULn6sLmYEk9whOV3rLBs86SaIdGO0r914ZL6nOfauogfZl9NnzB6sZ+RwJyGIt4xaZZc
ppywW1vwaMq4cb9XZTk9ZsVClJUF4SXiXH7v2QzIR6Nw2fDG2t2gv4iEcdBWqWgeWp8NLTH8FZGp
uFrsgF07K9jkwlNr6jbpcViB7DE9oZbYi16PTvq/FTL4/72mBdffmmL5C3YS8YL3f2zJHYADe/9j
yuCff/S3lIH6xYWYzteNQiLOGoo02G9FLe4vIGkkxXgBndmSFM7vKQPh/8ICRQaEWX3qoYAb/Z4y
EOEvrpD8UP6OPuxGX/ydlMEaIfgpouSsr0xRt+JOQIfCn5JQCCVj2/Y9kWM0IxzVXvQYjJ17WNxq
+PzDO3T76w/9Y/j0v4aueKlQEAXi9RSZo5/TDB21Jysmu9g5/MLbwRn8LbzDr/+XFwkc3ro13PHn
yJXtAFmTFatZogsj3hwbNMYYLv8m2eUf06o/v29haAc20anAVnTX/SmaYYHjzEVtgxAttXUxy5nh
Z+LYfl0tupZXXox7YItBmqYat3ZbtVvGiEWi1U0dCnkXZhQrm2hcvuxR2yx7W3LY3LOJfU8WJ0Ja
KEiCRWkR3wqIp2CpgabtJcfn5DSZo4m8GgEIbgC25U8HxFCLc34bsdl0g4HNSg2l+bvQ2n0tCXJ8
5drVyy4EDWhvmyDivEgVCItA6HY4VMW01KwjLASSTSc864cJquqq6p0AYwIbI7k1Iu2/o+sB+hkr
0L3bngbJhylgz7GRoy++lYqjn9NnUEaKCDTYFguuIUclCzw/VdmnI1agnpplwvb62evF2OPkHuHj
i8yxV29FiXuNoA5WOmi9JGsd2+t+NBn9FhxUCmghC26GJ1+kPlblKRCfHRowCJQaVWoauJPy8+Es
M6PRaIGneI0Uw0cxbLFFLC7gdpTXtkyh5Mpa+u9k/mmiSYWDp30eFFVsZB0r6hKydsDrJkqWXXrA
ChgEWXmp5myi/gaHrcfZfuGkkHB7BbBObjq7nBGi0RKkadmSE9UM7xxOM6QPysB/i4vJwtQ1Teau
7ASadINXlRKMwWpxBA/LfAW9zzxFosc/DBeXLUQxVh9lXGncMbhUaAlqYRNiG8hrZ9u3/mQunKBM
M/pFcsAPmTN5vAXSS3Hx6ehblFXjIxxOlsRTMSRE5mVdz5AjWRLMG9Frcz81VfUm7DS99YtlLWlA
AH+KM9W8CdWW9lZMJr8hmDtHO107wVOGiHW1pLKDHgwg4aTDSj+fRFr2N5E/h/OhJlrx4sKE+sAl
6S2bhsL1hOSCV136KQdzpwr4JPoaj2ioy+xhaEN5hlGvY57A8PAS6nzM1kwDJjAHisTBgkxGDhlX
zRsuIQlOqpwZq3me0rRDfil8H6D0zFyudJTs8ygCvjhL/K8b31qS90q7BsKCGXyDop2ToAgWOIM7
256rdusbG6NL6i/6jI5d/GgzLIti4/iG1KGa+umO5jIC6I7IK+jEbFMbrOadp7dWPhbvLb6Zu6GS
wVdWd9FhYuzEsJwH1ssUJ2+Vo3K+ZMb2niMOZDi7sgB+b1QGAPFFIkhrzf3Y3uUNOAqchd6CNYVy
iO5kJpoMsip1umwbWNq5CKbJvpn83pu5IBdIWUCyMDQ7RW5eW2UBaawowvwMOLmw/S7tGnSFpTp7
i46lz9q4iaaT3rMheVmpVUdowyP2vaxZoXKmsEBTuJNsxDboVPY+dj3gq7lZW6NGeDvTxh9m62xx
fLLLmVMWDHvV+qlXkiP13FFISCykzJNzQdrC3cS9nX+LLTUHp0XfamdFznHysYdpWZiM+xK8LcsE
qo8qtxl3TZ9TkCTbtOv34IizB0wU7i7nFsSSIKLXZsNIUDHXqpnKu0nGetzWSU1OoWYLBPlprSjh
SDXFz9RsONiYsRkme62mGtL54gRiX6Ulrm7pzU3MbWyuXu14/fpnA7yxHV9F9U3nfUf+BZGdDNVM
po54VmpZXFXGYg/oZvQ7G2uSX5RNxcWlX/b6oYij4aXmiHUjCywVJ2aJqo7MXBnvWaTVE86FLsRs
2+a4ESY9JukW7Ih4cZHPVuz0YlvIVmE4b7NJETXNTDEgM1pueeeoTt3HkcXf1EKF2EVVpQWryz6m
RqAXT2UWyT3FgBaq+WLcdz9Z4SGe6IszUyz5cOL4E98DEfX2qrKLc2UN2bCJ6iwmpZHoV/wFfNx9
M1HJEIAj407qFhyO4ftgTsT9RslNm4biOc8FNvl0gQjWxI6gmox9EtKoDLEYJ3ZNbqW15A/lIf2x
R4xXXltuJI50zq/9rsvd+JZYcDHtnHqo79d3BFGPKeBSDsJ5oYDYQDttygQhKy/LlQ+b1tf8V3IV
vh7F40Sv0tOYlP10kjtuBwBeDuELZi/1tnAVX1JgUDOccHYpGR+aCdUrnVF/EsiFHx2Q3XHbTEHC
p63BGG5p/hLgUxhmPyOPLyxuXk+c96JAFBKUfFGYM/Qtdi9j2Ol2i0+nQls71yDJxuUkb4R+UWlg
vxbsArGvKpvZUkaNfy4BFcK8UT0LqcG1vU8gJz3bNfhu73STTPlWwmN7bmaHBMcQ6uLFOENBTgEj
yKNrifkb4X3rYJoREH68UJhOCMCKPVQkm1HW4VtF4MYrP8qwzj9GZCa6mKKSb6pH7QAOO2sQ1/id
XAdaTuDeLVSjPRYR2jMDsF5eS9awN07bobMmDPWnnrskZ74dZPdWXEKPxmCOT31wLHNaqJaFGkab
wsNHa61pJ7cnUsEiOLrSHttjFGAVUGaSZI9WyqSOFtINzxit9Du2G5y+ATTx72vDPLVthQMwsrJZ
fmxQyhO5CeaO23PqjcUDq05ug4A658u5IYzKktN74FlFaR8WyPqsLsqcP+AynvO5Qr8DlFKKF5n4
Piu/PG5fp6EZnzxREXpIcuTRlozIFTQkeCtGctzCW19YhGDsHrZaqozzLZLaphZo6oZDEbKoo/Rg
Xu4Qm2w6jKIK3g+A7fuADpXPNih0TivW2lao3KbmbWKJeVnlvuJKJS/FVjP3eb6KeYCBnExkGZmZ
ve7K0gFUnozfcyLzctlrzzwvbjbApzc86niEXI7w4m/8KSfj7/J4epg0iY8tFsTO2+lp6i+WOWHb
MbE5vGQzEgzgqHAqrHuwb3mcuM9JV3XqtDCFeGCjJQQuTwlXcUzM+JTih782qc9gvkiRxRfS9ns4
RCEixZZiHC6LLKnmp1SNBI5qRtxLM42gfrIhcbPtPLjV7aqN1VhYbT2c4OVqgpMaatldJO3oa66Q
oDdk7ZL3zA2ojiFoTI4uicCPLoOVQ1riPkR3mb9qOWVp4h9iIUdNOHVpPkKSEhYdz6b6xmO7fOsd
yvBOM3twziA+kGUpPe1fDalpbsD/ptjrBfyJHtHrbCl0NeOXYSkfwuR6Qn/wnziKqIeCmjicb8Tu
mlM2scHnhEMj3eD50je4L9sIW3Non/OAVVwV3Ma5goqZLAj/Q/JcjqNCkGrK8Qed2tMt0FbcvnHY
mUsla5wIrH2iAT5Cjv7215PKf5m8xMov53YNGgDDWuD+PA6hbYvSALrHqWE1d/hc8FBzlezj2Qme
//qlVtzuz1OegFwDwZciA2ymRMB/fq3SgJ0rc3LcaeW7j+QVqnVVaEVvjbKg7rQSnN2GteaSb3KP
le0p1vL5RzEDej/JfFE/oWjaHSxFYCIXriHLhGMLG9/GK23nYprG6rEWvbJ3fK7ie48pJIB9V5Ne
Q8K6ntoh/eFIu70jWT+/+f44p1sPJa8kVJSF7ys46c1JxqChXQuiZ1eI+DEw3vKBN6Z4GF0BLzYd
mY9+ZUD8Z5XxTxjCb42zTNr/8yrjf2Hr+D//+48rDK6TkD/y2woj/EVJLhs6ojHeKlAEv68wPP5V
wLbeYxS22VUAQ/gnAtr7xfND/oMaDt0HmACXf4uicqyhpYWWf7Ne/EEAihf0wt8gQK/X7u+TOLsL
eh6hUDseS1FH0Ub+87XtWhoSkyYs2+m+4+uDK5AzCX+1Cr+JGUj1l6Uz75aBKtuNba13uz+8Xf/N
XuNI2Pn5b4AwqGBaKwGxyRF/+nYxZkZ91nmcmBs8StwImzE6zDTHvrmqiF5ivxXxLsG98AKBOknZ
fLeajb8L4q2d3RFFbha+vTe9hbqbUn0BPlXL6OOv/5o/r1/W98kD87ISssm1rauen98nONGZmfOG
Mdayy/sO4/4jxrJ0/9evwo3rp8+De0vATw8JMwGSXAkZf9qM6AROJzUdrNhZcKx45ZZAVtXK4DPt
PMWxfgo0YWIHC5Sis+jBC8fpphOB96hUm0E/UElEBI4Uw3xitRY3BYt9hLmBoByOoCgxr59q6Ifq
0irV6NxG4Rx7V4nSk3jwKmxH6HXWTHCdYtv+TDsVKEC74vFwHoCQWJ5Ysy/i1OmhQEopS3c7Q4uF
K5rFLptZzn94fh2gu7867Cu7NsEddFLs9Cq1mvJiCuEhUg+RLWSiW9J5p4qtWXBqT1ke7jLfhVw4
GoHRyXNL/i2Wl2K8mVNvUVv8dXl2O6DwMI+rFTROcGWy43rjYEtpz1sVy+ipLPNJskFfqASZqfs8
BN7AoRxSEI5bDD7dtKNONkoOSzXXJcOIVS9nMO4MkAqKfeZt0ooQo4gqGT7qvI6rPchd22wRWKPk
rPUgKW9HxswrLtgas1GtqEsyo5QYc7HXml2oW/FSpLpmCgptrLQpJARkMgYte+djkXsJlwICapqH
qK0I5rO4AmCLW6Bti0VsjVyC6ybW1jM0ZaJGtNd0eJwXrdRJxkDHVzNF2t5EPgcy1NkQfkFhBqc9
FWa0zVPJCS08Q3MRKZt5JMRt46V2/aTZp3bXPSQNnvBYZx6DzuTeCRVzVnggpWkHZ1hGlA+Is5ic
TdcH9fxWLGVXPHL11+MO2KX6VhtXVGeUPxP1k1npAuqG/vHl09d6XmQOK/WYOdLsaaTK+Z4Cdmqu
EgtvFyefeM08EvAFMlAOeGMyx/OS20K27MraYAKkjAELYkImS5BFFcsMwrIDXhKunpRHr+f5uPAj
x0ayzBJPPU0a6NNTNFrFly7rlIyqh+uCrFPrfQtQafFxkZ1jEB6zWdABXJKbbPtFwXiu4pdU+MGn
XTQ2hb8xyHqMFON0sN0ltq7HJgh6Bse4eVEkkEeaIAascQSE7vO5gg+f+F1xqInE3NXjGNwBSGR6
TNRg8Kw5Bq+E0wbnNuav6cF1xMxXoqVaZt+HWWjvR5TR5gQ515voSwqNf1jALfORqrbATC/Nj2Fe
sI+aGZ8m2LXYZtXTkSylGIBIHAJ8lZz6nrCuHYyrGduXyX9nZrH4jqc8kLC9CECKddyOhzQFhHVi
yK+fBmp2GGNoMIGsrAvwHrQ/2tt6moF3o/ZRQjx0WbUzgrl4P/LbvLpQbnMYkvPC6icb+ACTOa/T
7WBxKGRJNPbZGe279Hp4g4IC0dZRiKqeTOOwS2arnc61DUuDpFYpD1mBBrcdi1E5WKb8MNo460sR
EBOoO6UDJmRrWHeRv50El2Db65iA1CJWiY49kcD88I3ZTX+DVB/9iIViW2i6AgRwwrHpNHQ795us
/JecUPNHZhsiF/QmkTCQYCN21HvzdKt060DQiKJgPMh6Sq557oLUshfKCPaRO9IMTMoOQXV0GjoL
TOfDeBh15X/QnUKeskj79BHzrbT2ece5nchmuYiT3h1xAMDL5vxMA5fWp9Ru0vkTa+TLE6KC8slR
mKX2MinMBU5mCiupPVknmVmU+EG9GoSCPyfVJ2Ji96V7h0wmZT3ZOWu75cMaluQVKGii9xMmlM9w
GMdPVo9U7Y5Nu2kHn4qcKCcpZkKrgKcjMSeFdfNc2faHaHTibUMeOa+CosNIj/cDi41PaYj0AQyO
9z1Qboz9S/c1G+OOmwZSNRVIdmU9CRYOr9nQxSHdgCGmWPCXzetIT+FFqBeP+taq0W89rccUmEY9
+wa3F+1HOQOlPolTPb/HRXsZTOWI+dcEzgMW/vijC0F4Zm6afEtokU7xfPYk4tQiqpea6kwyp7zK
dceXk9Iq2njE2xxUXbBOrMN4IO0SQwHr+ux7kAr6dxW4lYUbUmRIvEpD+rCOw3Gd3nR+uwClXeuF
qHrcuIlbPmS0mDenJqLdUZciqHf5KPOnkrokbHs5BdI7K2ypFOQ3BbMQuvWXyzPDWvsYyi+SxZqN
dZ0Nihh5TBYxVy19K50dAjOKhx4WQS60fV5Yjrqf0tQJz3rayG+yGiL/VkhqxTegYOYEdKRkasA+
mpsrl5bH96TQOiAUDPxuA74eF0StBVvbMQOqtDVLbL73VNkWG7+q0hdACzXZYatJr8s0SW97GzDC
ibYcQoNExYbnQGEVY4TvyYRZgbsWwKaxvovigGE8lDW51RkyVAnGOqfTS3WSo2CVT+nd7C6wYKA2
h69cVATejyed/wwPfxgeHNvmmPgXs0P+rqv3nyhrv/6Rf84OLrg0H8KeCoTvHXmO/5odXMUUwAGL
V0BFC5gg/jU7WOoXpgbJSAHOUjqcKFEl/zU82L94SJ84rVePHXQ09XeGB0etkNHfD+8BoFUQjaip
bJMkgYZ1uvkjA9Fo1rzRaulLndHbR5Ulx4eOqlmK7TslXuCrUTzQDbhhscAuuOMNKFg253Mvov0y
Lbg+hrlk47R4BpcwIGNF1IDta/d9hpnyEKzdYQ/xoJK3GD3Qog6yDx4mCt3vtdJ8dbqKE/+GNqrs
wgpj7kVAeXmONik3lRPTsuLHbqmiy3gIdPUIfMO777GxkFJgt54e7GZok+cQWrI8LWPbHk8d8qF8
Rz1rDYvVlEmeYMSBZ+4ij3XcY56wCZMU00Ftsscw6Yp7qlvAU44k1C+6IeQ+YDn5cIdgTJ65micp
zvKsN+U1gCoMxEx18gdoowmimBMWl4EbtCxVYjG+1l7SZge7XjH0SVaxwRSGxCnPRUddDcs0frcc
czQdzU15Ikxa0eoMn4ykQMK6MO5cdn1ulaBhRKOhWRLjFv5o2jWz54m4aL6ii0ZxOkbIRVZdIBdJ
Dh3YJzFaXQ39IOYt80T+2s0UWcGWmHvcwdqxsQ/1JWiWGJvduEtVmF0PrN/fEjrDhl02Tp6FsbqK
6ahN6AhkgpmCbVMvywO6T5GclH43xdSCDJQZDqJufsBuysat5GNcTwP4fk998E3tt8Xxclj3gZ1e
GbY7dHLaAOh2OLElWjHOv482qvLXSmjqQ5jX3osadzTlALW5QRkMqpOiWv8GMZQO9xCFNRAAZgBr
N/ETwPmhD4dXPRAzHE6hb/9w6yz4AeYMNpBqTHpXDm1PvSfqotlijMyyK04DrX/K7Zmf2ud0KOxG
O2aZOxNVouvBJixTyDQGTVf6PMTqUlkPJXxuah39cXxREKrnM7qsm2VXKE2Ek1gWu141UK9KnwzE
wI2MVbmcTyOT74HIS7QgfHjWcy4prNm2BFKhK9kLxfV4vZK7RdLZhutfqg2imPMl0wFXKv2OMAYE
9lIKbFAsY6guvv/YyZKGR/h6PDDkkHmfrtsA1PIDmfYnNt8GWrtj380Pti8xR4WRla/Cb9X0Kz5i
RZe1BbluVLS189oxtIkHhPdTjFZ+9twFCaCIKFGICTGkROffTMN/3vFh+/A5w673PzYetlxn5T8A
Vqfc6oRe+JJX7RB8IdTGRIJ45xhpZfDv1hCrf+LnO9n6YsG6T+HrJJw/DfgYKPEzDx50qgZDkOTW
akEjkO0l8ajmegY2cNoFfX9QbN+3U5IKAh9WfvjPU9Ekn90f92N8noJP+n9+LN4n1T/25r38+v6P
r+ofD33+3/zp37drVPh47MlsnDHecV3ym0FI/hJ4KhQs3lilSbGSwH8rWBPyF1uxyg0FnQ8UvXk8
tn57QrruL/L4cOR6YzgXofw7T0he6k/XFc9mT7gh6rmwubL8P11X/EvGgDlrkP2DW7489Y3bj0sV
w0DiTJsD3FpaGKVB4TH7b7Dnr4zCmRLBNIc6WCA2bTsnmc2DCEtVoLS5U7BZKrqH3/vWWOZ2iVob
G2DRhz4RdTgTc/yeZPgovDN6sonOqtYmp41bwh+TK5sGFz8/UA6W4+h0cjOw/5fW0FpfZZFakdr6
oolZ3Q+S9PDbWJYwKXV/9N0cPTje0Y/THL05ntH4dLyyLOWVryxsz2MF0V2uph7yOCz9p6MA0JqQ
n5gcdYGjRGC7VL/mhTv+WDDNExtd1YQMfihCiEL82lg0Cqkth0/73NhuF+2yVZGYj+IEpZ5M7UfJ
gsNs5kPVSMKHpKyCp2hVN5Koqx7mo+QxrOpHWHKoIOyOJpIGTnMjZeNf8a5TpJWu6knvmCw6ZfFU
vqWruhIdhZbCBx/iHuWXalViuq4zGfboVaDhMYFYE5PhURvU2w57yTRNF8uq7JCrQeSxVr2nWZWf
xXZpyszVbPUn3VEcaqakvlXaiAyVdV2o5lgXLrOjqIT8h77kr6VZ+VF2IpaPBMXBCzmKIMLqGV1V
Ki8KhydzlK5oPkfGivjVHtKjuOVT/fVcr4pXtWpfuFGQwbBAB5fU4SCOxatONh8lM6Yb5DNpOvMQ
HEU1AtPpTbIqbauawiI46k96uzHP86rIRas2p2NUOswp3VWSZsRc3KOMFx8lPeso79VHqc9ZVb+M
Mt9+A8cIMbA7CoNJ7Fqf2qAWVkfhkNgvGuJRTTwKi81RZAShb39lq/JY/CpCJgu80PYoTnKoNWsL
beFfzRpIlH8UMudV08Qk277Cj0fo1JOPVH6UP6F8TqiZODQkCTMUUmpWEUvNqpsGo5xv5KqltkdZ
1YI/+JB0IY1H01F4XSnuzcY+CrLFUZylW2z5XsWTS3dyZlsMvui4mtUIz9i2zx7XSpiHypt6VO5V
/fXqDGuUfRSF7aNAzLiIWGzKooVbtUrIYBmQk3m+5vcBfpgPcdSc09aRN6Q2l9fI1oiP8ObKx3wV
qkeDEYCDVy6u/aOSTcYJVZuWDeY8XDL6Qy1p+wk02LtFeeckWR11caZpYhDtUS8XIHMP4iiir3J6
e1TWMXNQgptaiFOWMdkz9B+2P+UqyLcUWoGzWGV6HF8o9gzE/GC1Cvn+UdPvHZf3OTxK/avoHx71
fxo7nOt+NQW0DajyLSYbVq3u0TcQqWbWO81vc24dnQWdtPNP3a5+gzbGf7w1Rx9C7FirJwGqyUeA
hTmhamZ1LVTQusodh38OIPZqbOB9VG9I7OFLcfQ9/F/2zmvJTmTduk9EB0lib5cr752qboiSw0Ni
kgSe/h9U7/5PqaQjRZ/rvSP6ZndLrMXCZM5vzjETqxim/ZCo6dFfjRGeKGIc06tdonpzTiBJ46Kw
dA64qiOmxuD6zW2h+E9u5ZsHQ1V9ek3rNc4MUlhIUx3T43gTvbk34tXIMZVETI7cN39HKRR4zdQd
CO+01bisjYmhOvLViHdEiiXBLJ0JMpf5rKjn1jBSCrqIh+ByyD3KHy0Slt7GVXn+qVNFdh/FJDgq
9BDAzcSoLKiHZmpwg9Bht8FMTTJtTv36lRyNeradVHKfAZPQG1aZ8WcIgYpSlajNidS36HsYjYb5
1F38Cn+Y3Q8Oj8C2zMCe4bgHHG25ci+qENeDsbS3UbQCn/RNn3TbWI94wsMldc57WmMekqLD6x52
hM7tsqOVKkT8p++Asex3w6aUwG01ULXU2UGwy5j99BsQe/hgIGVjAcC6Z33ChGouER9LsSNjJ+5X
QxVht4Ka+A1jVgQ/epMd6I8EJW4Gos4EFbIijfdxLNgXzbZjPZhMLg9xNmqB4qpJo7C4068u/aPY
zowC4rt4Nr9Xm62tmD1t5KBsc8WsdMCaUE2LhSSERAxEt7+viqbjjpLtZqwtMIyBWJe/iRsMy26k
xWbaC6OWV5AHwOjrcZDOwW4cgoKl6KMbq07pw4iiaXDOJLTmR7Hgi9nFbKcoqvNNt5w4uRtZG+7u
6GqoCYJQJ23Z/V6mNAKeADVtmpulmD26t+cSGSik0t5rY7L4I01Yeq+IIXhbXuc+FG4YWcTbba1f
R2ksszdsbPIDL3vql7yJ1xkZZkME1IPilu8I4VrZplVh/oKwU5VXvItgl+rFEuO2agZXU2428xQi
h+VkpyWjsOrCjFl47WUFAAQ5LgxlKjjclOYta0ecJuzDyWll9ZVgJdOHmdjQtJsnkQIKTNnR7QSn
t9u5enbTXaB719zn5YJztCoVJLTAOJDV2oDenJZ9rLVdhjFQG2Z/1beyJu2xzZI6uiUHQYFLS1j6
wvHl8CkeYpde46b3L1pvUP5WLgxyKEBUORY+ZmO3o26I71l541yKWCg2MMnM1kuYSBDMs73ya0Pi
76GDKnel0GsB1S0zXMGm0sEr14D6Dpma5J7LfOJ20RkfqiUbyH6P9cRLPwxm2I4YanM07y68Eoo4
11GMwPGCAG9fsPIc7bPQKeVXg+JK+6xVdhQzlXlyEruSPijbtusrBH4JerkjirkhfgjSckorbrpg
yu2bdK7AejSuzQ84Mj2+Z7G39qdpn4cncSfmO+xMH1qHRAlbUq3vnERO2baWs8FKLMmL5l063gxE
yLEDh6U+79XqeW5iUV4GmaE3tbR7tBNKbeMcx5SVPoHQQD1tex0kN2Yc2q8sqM0dXOcRXlUzMpVk
chbe+FWTcHKCNrlqy4rN8Mj5f6qwhV6ZWaXdNrJpddtYVtNfg22IvxQKLWDLypVCa3cKefeB9qU5
JOX9DcWEOMg+ZuTXIq0Hfblnte9+IVIL0613VHqfuoygoH1E7TNTdMy8uap5S6DOQ96IizDcTL7h
2ZDj0edXpt77HpNeVW1Y3MAmpQiAMAc9wP33iMrPcZcSO862ZqSccwOGgiiQCl2CIxlDhi1jEv8z
LWzBjar7+jqba0DYdo/dkr4Lce1wkXd7e0g64j+dAkG5PuXnAylCD/raNJSvKKnYjhdVV8hV7Buj
HV2+4VlVuYPKDmQOp6dILnF1mBwZ49t1RdgeCThMF8ZZ3H6f9LAykGITns5hSXsoEyJ8mRAoouBr
QU8c861e8F/TwaGPO8fvT0wqGOC0jZGflqLAwh0FBvdmB2qRcxjkLu5Kj6qgCg2iByA35d3WbQtz
Pc+uC+JpXBa95S1sPVoohzipS2VDW/Xf7JxG0V5ZL669EawL8i9RkjP00FaCVh6LwgqPVAvN+Ilk
Jt/VBymLJEN6qc4xn7g06I5JInAPLLTVPeiAI+66KJkES26mdwA3UDNY7Xr/bSkffrGXXoWK3++l
2Uefvtbfsu7HpnK8JfzRfzbS9l+guh0HqwpSLlYUtrH/2Ui72FTCiN2rDKBDeOyY322k6fpYxWRA
Ma7vSm8NcvyzkXbkXxJpWIZEViJ6b/hz/8Kn8mEbTSgrwJTAZh/JWxLg+bCNnjUxbvZtsKsKqIht
SotxGPvLv1Oc0HMcPxDs0yUjWY8b70fFiYSCE6cl4QOLQeIBmTAl99qBmEjmZffud7j+W1n6TZ5n
PVTg0BqGoSQIA1SuHw9Vho5PR0ICq0C3kMDZpB7KBnj974+y/i3vVK23o7gONrkoROHkfz8exUV5
YLou5u2QpPNVNznBKTCWfotdr7rKVVU9wHkU178/6Afdbj1oFPikJEn2SLwyH7x5Da+0rldMthnf
q/0oOjyy7lDdiMEqT35/KOfDAOLtWDjUCStxMOScD7+YWvxuiQJcG0ENnwjZvOwfPG8BM8EiOAzP
YwAg3yG3959QT+gBYEVlLuYqICMbZEVP7cuSV9cEAeJHSJokqRvCRYzeKIPuoaP4zs0M3r3e6z5Q
rD67DHyPssPp9vffQ6xa5o8/lLSR/gVpDIYq/PPhh2qsvB6CADmclzl1t2KZ/U+pbOTwgMiS3Ipw
JImQ9l57W4Cgc89Fxej0yPeYYhzc3B9fu0ItbJ3AtuzauS4vliGesl2uJN6K33/Y9Zx+/Kx8RI8e
H59r1/vw+1q6qDKiYrA3kqU49RmNQP2oq+deZrwSjGIsOivUlRo/+f73h/750mJ/aZNNQrqjKVYi
3L2XhK22tQzZZNT1IXxpobk+DELbV0Wj9d8DSjqcaEz5xf35iyMh2K2zNXx7hAw/fMmkh4SQRc6C
gZia1U1qy3jXzIx+NujE337/rT4+3Dy0y/WeeXMD+swAf/xWSUDomxQxFzF7of3QTV9t0Sanvz+I
+KBwc6vgX0WGJD4oKbH010/xTk5n8ECHO3ywbWxRXjLh1tjkVQJdJZmrU0Y5zT6AkLEn2eRe4Bos
v3mkVP7w1PtYyvT3h1gHhjz9eG98LA6blxEnRUv7xIA0aTYV6MUzRgf6sCxBcahi8AJVnPh7LTAM
ZY4FjhEUGXANd5IvMg2p8GWqd0ztTHVGyIvi2iHuvPNB1KH6w2X+i19lfWZ6hERD7s232ee781V5
aQUAEBZ6wytvM83U/VQVTPrf/yy/OgrpVt66GDGZ/a3X4bujJGZ06hTMDIt/6obYQout18z2H877
z48Xl/d3SEkWoxRXivUx+u4oxSwBZ0XSbDOyABcl68ddZrEnAYvTIh1P8eH330q+3Yk/PiQoicQx
6SOmryuLD/ePPUVBgaRjb6HCEkaTUUGWAUN8/yjha2T7HNnSxzlC8GUrp6G9T3XZ4gn0JI+/Qkfh
k0zTiSU1ZQKf/R4m6M7o1n5eLJq/qTrHNg31J9ePPAms22GKuidHK8ZaOfuX4yLS7jcAb2yiK8SD
6hCjq/ebaBZRtw1wthoCFEHf7IC1ldeQUgmxtHWvnq1mRnWax7G/5/U4pVtbNfZTO5Kww+UxZneW
XYYwnPyw3QbpoE+Ii4Bx00083wZlBE8P6IB/P/U20FISAygxKdQmeIx6cAG+JC7QoXEc1NFYGVNs
bTDsaF2iHp+devV1kO6pz+xc8bbJClxLu7ZF1EO09RzsN16oPnVD3z/WWYWm7+Yk+3ZgfNz8iDjZ
csHuD2KtAgH8qTUrPyK0KnR+J56SMwggJaHNdOn1UzTPsGkJcebPft2MYqtab3qMStb0uzoLXTxu
gfiO1h8nu6jSdr/rhmh5TMrOVFuUAC/ZzX49A+CsXfuOfQEY+cUiM7dVrCccgpJmpHzatKA98GuG
N5AOxoUzmGjC+BLz58TQHaLiMopLZvxYgSIMbs8ts0uy/eQKu7POZw57WLfHzXkCrhvFZRrs/KQB
FtHghAOakj00ccvwFo6FJFY71GRkC55+IO+SmQYueBcobbFgXwd3TZxi1LJJrKpgOhnq0qDKim6+
iFxju4d4CGIIhlTj2nucxjZFV52cv6RBMNtEFxWKR16NRb6jnATy+DilgvkoXIcbbu+gw4gX0dUI
VcKa5G70GaG/wizw6+u8bIh6oUxotBuvdFvDSKKd/LNiaGPn3O/a6Rx1DeseimDCHpvdWLuJK6Ba
+8yz+nE3Z6gxW3rMQupdlwxcCWXo+QOMByywS9bAUM30AGR9ppCJSgEiLJ95fcEUnOzRJaEwghan
TydSem8wNz0Vsc+9Nraqe+1AVnweClIFK/eHW9KkJnhk3ruIc93N6ed+8tSO1DJmDLsWd4yyFQti
Yt1fWSlTDgUThhosehIAj5kl4pyWI7j5KU0WhG0sb9jBFm2fE+dw+L+jxL60B8hpiOWJHR6wU0Nl
DOKOaxO5yI8oN+fGwLfVlnD0Zy+6VnUugQwuqfSP6oQSi2XoWDeHYXbZEwH5FC5q/upUOWZaTNrz
a4XdVWyY3lvWdqy7CINVGDYMBzLx1DotyUfIAmBixswrp23i0MOwmyavO51sk9mX9dzL02a0R3JE
swtCLGV8l++wIhY3Li0BxYFlWX7TN07r1bBL2/Z8/cUaWosgkl7OXllkp2FgiAlaGBLrPVCfmfWo
LKAB5nFUXanGx87Mk04lG5KnCGJpaU/4hD07frXos2HqIVO9Ssc+icRWYP+EQOxGWyKgzdXEPQGd
SgITbhSG78uE9V4J1TdQSEa+a2FDXNriyNXlQIFX2iLKA4kFwMGtf83YYc3fRXFw1RZOtmyTMoCY
EdbQDKgFi6PpGstw9ujnYQplDOpaelqNiTqudRVSljgZARoj7aarXIY83vxhkAvAzaSZALFOwV3Y
5Xl7hkLCcIhAvJYoUU5Lkogcdb+PFu3D0dRsD0Rtj/dIbv28BWTO8jao2rSELBz0+7kt1p4Cq6uu
e5BRXNSVyjtiZyZ+5BEN4Aksd3mhB/QFR+KJ3mIa0nezO2OIU+5cPgrdcpZ0NNCr4gqv+pzyvb/Y
GmDJkUzpBmuxVrXgwZLlkKczxQPMjMsXd54qtU/TAo2PEixkMqLTvDgjLZfyIuoW6kpENszdgfQk
ZRh5YJJLHWhqDYTKg1tL5uJLhpNVHfw0rpjldh1ZYY2/Id20rYCQkqCZXCdOg3Jioiq6b0f8GVt7
Gb1857LwDPGCekO+gbIRfbOIaNG2U2v/sqGM8xl8geFFFtIa8YcV788rESbhtCALCVSUPeP679+t
EZzZ7ks8vT0spCw5zYE0ngDvnP5wlJ83D4z/HYYh5E0Cj738j0dpeEgSjQ/7bWBlgMtXJbN0HJxY
oWftwwqG10YReTqJIWb+fej/eg7few4pPX+3VPup25W80tIwDnrvqUDH4M/8Rwny/L/QJBCgBcG6
wEYH+f9KUIA1gjpX4QuJN8J7+1f/sVQ4fwEoYkUfMoHn6mGb8T9CEAkoCCkunfW8FADG/SvLIag/
LpB3C0sKWDk8USq2MwBXQvlR0jBZ1FIk2tIrVo2Pqe6LlSaqFtd5LqTnwGmbbGpWd1PWdRPtIYQ0
sFRpCzn6hUZIY/Y+u8jNap4YDgX25HZXwBqvvsN2HLJXNl7eaRupUV6kNU0hvM6GVl35qenp1ZJB
O11b5MeTk6kTXrZTywguvJyUxYKSmhG6Sf3bYaVjQ5Y0xVHT9wPBfGZ28UZ74RzAdWq79KUObcui
aMaDVD+B2KLrQCvnUPRNEJzpaLZfrEY3/CVpihtCVMNxwp2zA4Ik1NfAbsyhmGE13GdMlM1Zr5ws
u/dy0gI+fGLs0OQVHcc9t9xkuh/9hR6uzVjwrj+SXTrdL31UQ4+gbUzNR5YahIt/mNaCfKYV5fPo
SzRxW5OXGTtSDkeE6KFdNTGMXF5gfGMCstHSfYJCB0CgN7CUGA+lT+A/4ghsTGvJUzqJdLIbkpw6
ljrTzDox93lLhkM8zvkpgoa4TnXvpkYPmiIeu7rsDXQrt58+1TzoCAwMsDCwvMFLzwYkLKbL+XPW
ItrTz+l8ltPkfhtN6d9aHltm2oSAx3HRIol7AKvhVbcCeoxSl0lb5+feEpVXKWLUOTy27sgkmdrn
TgBQrkm6XeaDQ0XXDp8Gk2O+sGdZbwRz7oeqkZh3AtwtOxma9iAltOcYS+hxLAHYOEuf3XWOzrbC
lcVFN6rkmMGcRy8EreNw98kE5Er0p0EwfNcNK65N2Hfg5/jQB7BmzUMB+2LjQeu7TRM3O+vIwD/P
PbEkRtFhvl4COEyIJnlpSYcSp4MxbTCetzDYgNbk3XWHz3EXsD8+LfzWOWg7bYcds4z6VlRB/dVq
avM57UN9x1lznqwM7sZOxBAjjVNMNBvJ/vNIjOHZeAkGIyaWtd6EM+BBeAyMYG2XAaGKe91vGiXq
T9rBPfGI/VNE5XHpZ5T49hX9x5+FoY4VW0U51jbNbo70aavxt5ju3eWL41sqX77i0hgZDWHSdMeD
gfCGeT4rJt959MeUFyRFpRUlVbnu08+uQ9+IAE+4NS48D6jK1GIWlf+9FUN6nKZJcBYkwXSc+6q6
Y8EDA9hU4kvEXQ91lj2KHG+rcJHDOYtotzqaJ8S3k6kp4haWn9vFx1E/U2cKIH8s+huTwaO5YXMV
jxAvnHmBe0KHI6b7qZ/zs4Z9Jdkjuj2YOrWmm576yWpP8yK3ree2Z8l0FTFc8p7BWFG71GGzd869
xpfTjpYjchqbrjdOf6LxhKRfgrRzHL2d7cGB3+rovNzybPLl1dDMMhjZFlrFqDYgg7xaPTdmmuMT
bC9pfWHSmHZHR1uEXjApkFvapEz3gNYxKbOURUadqHrKBNuxy/4ub4mFHC3BotungImvfcDYz2cZ
Clbx1Dxja4wyhqUdjTrYuBMnhXxh1yUXG1weyElwSoG+iGVl3CUZwZmhGGeXuEa9eMVOYRhqr1k0
5Fe532TVAKYwiOXriA8WfsTEMtZcymiKMzAzMmC4zwpzy/CMLYxoKD90fWU8DJ6dN52Tjyb950Yl
NGCDPG5fG6lKfELRRG1mWEyspcIaEB0GkSPSjrl76QXID+B7puEyN3bPDU8xQEmBhLZmVlPzaNnn
VQX4LgEpeJAttcxL6xb06alJXfSR/TIO/muUsFS8onHIJlRFPyKRdewphzpRA7UKfxfxlFMlWZqW
a7ZRQ+I9z4Fs44AQsh2m66SfTHdBV1RkNo12RPRoOy5mgP6tPMlgxBPnCb7h8RifTSAfG598FxnD
Zu30aVI/OW9ENPp7aHSMqMmXQISWo2VNLxEkmun5rXgoK6nPE9uEZpvxtddTRd/XYIf19Uy8ML9O
vM49SDjCkhqrsk4O2KhXfrHgQ/PgnpNxvvSJlT4vPF+T0xbQpv+UhK5qz2zyW/IY4TbF2F5hIJRA
cLqLedR2dm4vUb0SlJjwQDrrQaoZ2j17K7zHW8m1t7Vg9GCRJxycAx92LT+Y8E9gmDl1SyXNdS4C
qU9SCkXqWzlbdXVp5nhxXkjFpc12zEwm2LbrapxP8gyc6xXsGtq8/RHUOUNc3kPbXg08HDjet9mM
5fMylsGuXKxX4j7FGkLqj4MUrFfa18G1j8cg+1IEiU6fUpbrw0lkGvaYJT4Y4l92miVDchvRPpjt
JnZRJF6yLGvvrLhd0k89gbbyaBjzjETa1IMk3LRha4lt6WGAOCVnFn0pJBQfyBgmTqedioA47Q1A
noZWgDnLjtEU0hwwta4b0M/p8rkC/gnGsIyaB+PxSrigi3lG1KEpbjQnDumI9pkNKEAMYj1sjW/s
eZphfs/9M2k4BaQw1VH3jWXPHXxs39/5bdDcBo2P68iBnyaSe/RLugf1zGuu++aNKcUi48KvTpkO
u4fJtvN9LGbkKu4mrmgXHbUwp2zUPuM3A6rjF3O23PkZHqu9kjOOo2O/Yr3y0Fiw2rBrVRLjyuB2
oIRbUFiG1Bc16nuX6k1q+YYKtWyTt4q+HqpGVXDHQ72PP3XhBN/T7pQODin1YvheF+jivAJmTPfD
Pqpk1j3mAxrolvJlb/1r/WQRlAkxW8K2qSMilo8ko4K+3zfaCrgiamHn/Unfug3B4wA62mWBg9KL
dmuq9kAas6AltZ3C7kjjnvxE/RquONT3CqkprOUtqXydX7oLoFcaQjvboT2mdi39hT7DIj8mNpqB
/HWnPj0rA39Ozrq5C6o7YDDDvINilAwPlhuPwWOa8KA9VjMMwG0YD+GZwmGZnCTzYHsnOfyr44Jh
QXMSuGPcH6DSDWTZhMlpvUBb78YDPRONv3Ow6V5GRTV8zafa3rtOWz8Z8FX3sE/cixwb6bGnrfyU
uRGqo7Drz1nkDUcT8pw8nhTDn6/tPBT11hpsX1+MrRSsFOuQS4NoBUBhL6pa830IMP8TuqExAdTT
2A0H6HbEMqhzhLAXsyz1j1Rv6/mQWfgT1MaNWhFsVCsAPLMAoSkvY1zWroJlVGowfYAD6JicPa+b
TnVZjgyCjBxDrjDLjGCZo2Dpz3jdZrcMiaRl7fk4IzKgiTwvuQr81dFAyMU1vgNJitefTDJrFzvQ
74Ln0hui3t1HBBPzFwdzHG32bzuf/+4H3+0HHS9iK/a/GwQ2r2n2+n4z+Pcf+M9mUAZ/MfG3bWJe
eAAYhaEJ/GML8P/yGPJ6ATeOEzGPY5/4j78+/Iu2ABCVa8JMgrdYxf9/bAECpqe0ndBm4MHPvMI5
/4Ut4OOUjlzKuh9lv0lCBEjLh7kGF90UpT6uU1nSObNMKnyYBmMgpefp3bvz8ouB4Ed55O1QERPB
QDguyYAPgxoZMy+upcPgoOqI20q4/rq0xB+mdL86igNjYv0yjktS+0d5BINs2/EwNOj0TrDrZKPO
JcrQ1e+/y7qJf7+J9tYvA1WEESpKDBjOD+fNMaTqcfFgFh297jinbOOc3h996enEOwJxDpwAA/WG
DN8aPR1G+FxaJydYIyGvzcj8v/88v/oZ8YoQlMDyaZPI+PFbZ2HtDKx8WTvNVEv3blGeTXZQHzKS
5he/P9QH3ghXJV+dNQpbOy5sLuAPw9Z1bJAHM78jU4d7YNkulTryaIkLuhG8Y6/pXnRmXrSIT/AS
3tWe/sTefTdbat8OxQnS8p/mjD8NZvlEsFBDyX3mCP9vWuo74Q2WnF+4EDjWaUQkv1Xg64tTZFvd
70NquehWatu6OBTZUjm3YnKyL12irWZfj65w9r8/Pb+4/sCEcm8iz0nu3w+/REs1WMqqeSRN6Fsn
BT/Zueu6+g/30i9+7x+OwvPhvdQYdwtbnjxm3BeCMpsApmICX9SuJe25+798IYIiLubQCMXxx0N1
XZ/FbGfoHl6S9OBEk3VQDm+o/8NRCCEhmiFNrRrXD18oSuChLzkm7bTJ8xdSMP2lNVr+7e+P8lE7
XS+U9WkbYhfAffHRzWPJIFFjBT2DbUDOAFGlASZokewTNxnObZUV58xA1akc8/Hh3x+aVJzNFhmz
jet++IKUPdaCLlOo6VRCX0zCM6+wN6wTj/ai68qKgDgGvn/t4/b+w7Ph5ysS8RBBctWl8fhEHx5V
lkl84LpUSeWh217kRd0cE1ftj//t90PtX386AtXoi/YHVTG129EHZw6N0FG3tu+9jm54H1M4M+Y9
HM5kOA7c7g8c5PVZ/k7J5EkUcjIdSMvokmTYPpxTLPcmaYd6Jnc5ZQysBNOMi0gtQ32shMz8bc/+
Kd0JyAjBZmS/S7Nw4Uf54++/+gdB9e1j8EJjq+zxQmAP9eO1y64RombBxwBvz64TNzBjJVrFy8Rg
1x269uj3x1tP5cevjRpsE4bDBEIM9cfjzWKJCaaABOlNmm4dtrFPZUIJxux1OaGqQNG0IaM//L4/
P3FCWKsYeaR0uYre3grvnrHpQiJgiVsKFVyM5iQ9rF3h9tFB5bP+wxPnV+cTnTEklCUjVicfnjjS
wJeJvZ7p4QIDdRdiX75dYruwqT/MaE4X+SL8P3y9n24S1mcu/jHsERz375z+u69HGM5GdMQwjHwh
ie6E7Z5oc/GHW/HjL8cLk1+M32z12oU/eaJwtIvKVpRz6Ti2b6cI1Fac6JNVsdqIvJlux2b+w3oo
kh9/ufWgXC3YMVks8uD7cDrFOFezS7XJxjFEyk5Xwo7oMSvzwPhWaacxa4804eUGm8RUrS3iLcVg
APui+zyeq+qiz/tc3Eb4d+xdEo5RcwzAMR3uynRgMznN1WjtZjZF9XPoFTZI1siPK+t4SoLWnDXO
FHeQgnVgXgCwI6rBRWKWej0HBAqHbdNlS/vN6qEz0mPh9Cq6iOjiAoXdyVScFskg12bO0Zbyyk3s
vj70Xe2spJYpb52zkYKS9sIJtPEvUqr91F5XLnBqhHK+JNGWQh03WvrfvTJM6+0gBo+qzoHYFjSs
lpNS5xgrNuwrzXCdQNian8GeLByYYjO2114Zz3QSdaB3JQZCCv7KOaK2TSPRoxum2bz3EiulPxrX
9itAHlwINphTuCnUUjxX2TRpbBypO+/DQEMdYCg/2XuAmIG/BtrjuiPIqpZH7fAw2wR65ZYwiLbg
NKushYRfdMuj15WgdRxDZdRGu1FGc5nP6Hse5vaq0T4nqDNtcD7QpafWJo0o2S6WpcOziKH/y5J5
gU29Z2jcLaRgr7h1DEUan1kEIertKBRMza1oKAZv9+1caga0devO83PtVn6aom/CXfre2jo9oYBo
0pfGjB4BKXqFnsdO2WLTNGH1YuCQfYWE0FB0QnpAwDkw1OgJCEdfzIIUv7XaBYp2QojLPQMQmhKx
KF3vcvLCvmW8n4Y3lt2Q7mgS5aqLNI6plwRVbB3wLyQhax2qqTZKCfRXxImANE1t+d9VX7t4DDRt
ZduBDsVXG6LXHc5dUW4720UISz28aNvewF5DXCxBTDemXG5Cx66g2tcppVcRjKgvSH9us2HUHmhC
cV38kreM5k9LGqsfVveE2WnAa/CkRlLBtNYVd+XgZvxelSufFBdhstFzJlDkVZA80pc44NewdfFI
V6ROcejVtbclkp+Z82ImZmJXPLJpbBuDI28ejA1aXJQPfuqN5XYIrPQy9rrI3WCDdmpiq9BM9n29
Wq9wZqTNnmaYpTySJpnvCHVQTumoZLgPAwvQegYlLKalt1ue2ixovkH1o/qAFyqIhwmpC+QHA8pH
mgEHeyOZN1DuxnFBhlWcxjxaogvVdrKC0rNSpkox1Ty1VlrDMq7gBhchHw/PG9ABTy5wB8uzk+4o
EhNX4zIxHaQ8KeR5olSDy0O6mZg3bkn5fGjRr7jTqcTyhPlJMSXwC+Nsi3hGrAkKFe0tcLCwqQHF
A5iuPD3ucCi3z9Jqo0+h1ZXd3qq6jERfL0W3j10V1FtdU1u7YX9VPfTZQsAJI4BNdyrPBxLVvjen
u7XWqOcGcoqGndnayJPD8DOHzDfgNewUbXGTWRRRkQ+RVXMhLD09pqCKrypRILSwrWN2oRBjQSos
Fe0qUxqnM+mXGlfcrBfzNWkFpV5eTEDR8LFS6mBU/1hx8Ygjq5+5zjMxLmavwZMfz43RNabRwvsO
S4T46xCGqNos03ANVJGw1pyirNsdszYucfxiMfz1OQGOzDMqrW7mBojaRiCJ50BiGTcdwaiFbwj6
n/K5mRo9il4DfEwbn54esZ+k9l4bb8rSExsv1LRl9zY9tmNj8+M6ozPsUjGOF2VkrPgAZpW4gEIw
fByKynpyBoa/9ClRArebCHXhuLQZAG3nnEK0bT+mC/3GIfFAyiBdGoC1XXytmdu8WENVn8+xFffb
lnI4e8NDpQm3DTGae9PP5psZ+/ACUoZudjPnZFfhYnB5H9EfYfeZzUyNVfK0r6vav4TERL+pnUvc
e31Q0IXQj0P3ibNBai/IfK6E0tjYCBsCisWuxnbcIrAnTD2rKLajbe3yrgB2XRGUCud5ZOLi0KoL
gT2n3tKyYi85pkpobWq00v6o9iCRXUb5UF26LWro1g9oGIbx0Xm3qY9tFsdlzfw21onqjtrFmilX
jjFonbcOE17fo+/yoKE9434u1+7kfmqTrzqanH7Tgs5iENTnzIb6IZyyI3xwjGPqcOIF1wubCWXC
U/SeRGlmDh6oyXSTlSM6J2EpomgTWn9hCULtDQ+JcgcEn+IDNAdOUY9fkJe6PaRPBqBQtHUSHQC9
lB6xTd+wSdkWg8zvhJMX38SUh862AUFWbcCYdtDlumwm0aVARRpJ5miHDqupofcXMl3N4D1wyQNn
czHBFqQiqyHec9t1TyTVs2E3IfICdBYhCEfjh/zLxDbpS5rP3rcpEBaGuGEA767djhK4aim8+Wxs
+sLbD6ojOj7EjlueMsaX84a3ZP2J2RJ0h7xMnPAYj1wnqPXoh+V+7q3onmdRJbcEnRVtHRalLslg
yy9IBlRfhKzHC8KwoZ3T/hTJS9YOb5Uivf15csLihss+8PagIHtq0SdmVRurHubmuIOCj05L7zN/
vNLpLeUAuNAIEHQMHNES7uFGBt+QgZbvmbveQQszMnHUOfPAXZflfrLjA/U3Lq8+a+sT+pgZVfm+
czxA1/um4jlyDw5BYoEnMakYELlp8hVMvedjKdPxFWT9uDyMsoaL0xMEI/ApJv9hqBSVj7qVTF4r
PjETGbt3H5KOJfIW8JN9PE6KmDSvvvCS2r9EnCT8JvkBEKx95Me6PqIHZ7AObC2mLzJrycMXRAW4
1/FZQg5MhsDfUP7D49y10k4xCYUMxMcLJt4HjGx4GZXAKno3wK1AWLo+zeiMpEqwNYbqaQ1h8RTg
rJx4Y7BY28yBCdwNLkTMmcRrnQe/k5R0K09Unx0Ctf22bhNOF0H/6nGpm57W0bHOkn1rQ4nmcdDW
yT4t4kpd0UgSEI4lP2h20u6L9pW/q5r2Uef6VH7Y04gDwk5Edeg6EfFXMsj7PEGHxy/VS886tRtt
qDm3LVzBm2rsxfC0dDOnKK7r/sj4qX7F+DvfE5gi7dIZt+y2LP+i5ILhVm2OmN0HyRlm39hFuKeE
95RqruzroBhXboFG26QyA7NZJMTw7f9j7zySK8eyLTuVtN9HGLQwq18NiCeppZMdGCW0vpCzqQH8
UeTEaoHpUclgRDor+9kJMw8K8EFcnHvO3msPUqjLXmog1XYXLrWBRE4Zg24qIttrM6s+9oTZvjsV
m6qd0o3lOlJOCya0WceGrjCy5QcgJu1kMo36oqpxjPI+nVogV6mRGyT3Sk7lM6+pA0K7QoYriCvq
APKE/hhXnaMeBTnfx0zOACZOBcu3lQMW3/JOVqgZmbics2kfPdXp1N1Yxg7p7Fqp3iZYZpiutVby
I0WFc1mZLGB0Sgb5Zek6pSDTbrCfFmWOqSm6TLsjRq5q/U5Mw+gjZkeCrMSxeokUvVypE6N1JBco
vulKKmYMs0t7bIiLTl3QsV3ADC+zGSEa8DTRL7SqF/IW2w9pFl0nJKW/hUISVzEjy8tlCZXrFoSR
R5Maf6+JIZ7rg/PnR4gV41AOinhDL1yoLjoUncLFkUhP6wkxcNXWiGGi6mV8Q8odyqcwLR8xTypi
E5ICD9cjGkD/TmZknvIZksd+nvR7CxQ+0nZ5XNStqXbSvJ0dGzxKA9wTc1DdXJCTwTNockdy72dO
6XdLbUsB7+z+iHvTeByzxHmj61Q9qWZjG+dYkQpWS5I2cr+NcZ8mTc0scSomcTmw0IGEiuv40Qgn
uIVZoSZXCwUGOvAi4ZVvSPMNERARX0pnFfxtXRFLgqMaZ01CyRGdjao8dOvgcqYd0MjG4omh5qs0
FCCWyehqJ18in+DG0duJUTLYDLeALTAzjHTYj1CNWZcdlNLEpXMr1+ADerQUPTJw2yW4SMwB0DrT
wju8BndU2M1Z8By02Hy/1Dwn+YgvTPCdT4T8acfOaZM3dF2zAzkiTqGvjosDyLeMCThqRkJPXNNR
22uCBWheK4bWvRbVnN/3UsfewjRsi18hGn3L9geCK7Zm9UoYNtlWRY8ExyszNBOelDqo//tIlq+S
ZMCCqFlpfR51g6z7NhKBPKANn1ZBhHetZtpYUTklXaeTCL6007WVKNkV3vLprelU+1RD02wFlmiG
OyIyeuLIAY9c9VnLuerJ62TjmqlWvMI47IOVOtxZskTTx2XDOccUYKyyUq/PhdcPCcWOQqX5Iklq
3JwUspXfi6awVN6sXfGs5AvM36JtrSfQQ3K81bWIK1q1lfawyEqXbmPKHMsfs1yhOOyNwgok2UCu
09ST0fmibjTaekZ610Uai2ASos/fSXEyig13d3k2GBg/9gwzLN0vEmfeTjZxx26dSu11ztN8oFKD
eimpJn9uSw0Q+aMx59czijDLq7t+gBVoi2QzZXhHvTpJzFP2rfFLa7bd/YDFnBcCCnnZL/Smxrce
qgOvWSnnJleSYeU5S/kjgYEL1UtiARlekiJ9ReZkIsYwrDylVm+tlKT23EmCQs+j6dCmWpoFSVSh
M24NHTZ/rljRrjA1Pv6q3brMcOmlQaaslajMMOYx43EknLQ052d+8/KkpVDnoMMtxCCNMDbwH9RS
l2+tKs1WqYFkR+eJpLAl5a3ZCHco+ha3SWEmN7XNHtSH8NC+VI2esEdHsAyk0WADTK1QJNrGwP8V
b8YsGixvkYV1wM8/DlBam5DdaIFKnFUcw+IuhcWDS1930idJkObDHFa03pDL2aXZyCa7vqnUHuxO
lexdozeIl7olHghxHs3wQECJ6eCJKNC5kHLGf9cQqOwQxZJh+XXd22YwSVN0G3X1dETbgfTHjiFm
tRvR9CmunGqZV5jBlJCQ7Yu0I9ZTWlJUdqBY7QcrCe37DGXUD62t8is030vm0Rhnn5SRRZF4eVFA
1Y3RjL6O6ke+Y0uUrhcvpWl75Uzp72okyFE/p6WGNxYwoUdGGJu9igQ7yvCpnY90LsYuyBZnuJpT
VbpySDJDDtV1bLtiXBU/THTnb9AkbJYQaVTvNfiqUOJ0K7/o+8RogwhTQeQhmhuMgKzd6q1cEv09
DJtVIz8sDjAGcx7OM0UZSetiV7b4xrJIZ6LWaagUmt5vVfZYQPLVBktLREun3PD4pLy1mo5II3iX
RUoCPYLPrekscsI9GSYY9EcVAUgiqdE9ht1I9hdGcIg/6F3NmxaSLI0F3tmKx0ZyrSD1UDK8SJry
esN7DvHLMLZqsVXMznnF2UCG7Cgs9WFuOzUN6mRIn43aQO1SsvZUxCDGSefGJi4GLctuR2CNV0Sk
kA00I3xXvGEYPUSgm6hBuOmH4TjSsoGR3e7NaAVWIseLSS3u4+GolBWaUTZS7YtVSeGTRqDSJQ80
GE42g+bjItmt5lpI5x80oGMzvScyPsHzz+G7zPTuXovWSlckWniG9Bf+QF7EEFDmAva0Q1uL4l+M
vN1Cut4+0iLkTi2P2drfYdtvG3J5Vzj5+DBJFaJNHbR7xNkEEczqKJY9XPjiKac+ucDmRpcjNpiT
gfJStTO0Y3jdBmXSws1Ql6LekJrczyy5aZT7M+/iE10MfVR6asw8Kd2MhWm8fTTZ/6Nt+KRtWCdC
n0YPf9K6b95e39qn/G+IXf9ETvjHz/5OP0DmgFTBxuwJA5lmCi3932UOgHbtD7Itwz30D2v4y+8y
B8X4zaA5TYQGrWmiOS3GmP9P5oCMnskKDldmjlBJACr8GzIHfVVTfB6a6DLKe7TzOtMLRtcoMf44
NNHndgENT0ODtQn5daaYo/qyJjfGR6Q2Y/MKbsSxzmh/bZu0OQltY7tUBDVo3bGIoGllhkN24wzo
On9orXEj6/JejqCSNNOmrKqrJRUnbZkEY8KGImte2qnC1U26T57Vb52dHoow9gepuBxrp6H3XHqG
0vq8czdCa1s/JH+71oyN7IwPCNS2oP7vaIxvx8G+yPLlRERQ+XHQ+OzkL/rauKTFGrSxsxnGYlui
pHadVuLl024jNdkUOUlzZiK/GVl4DWJ4V9qz6pa9vBWq8zAC25lT5aDO9ZvW69eIlM6EkQKFoMSy
kp2ezTs1xBuUT3tF7TYE2R2stVfemda21OoHBjLkThnhgTNzoI2zmd/G+lSYN2pmBYpEzdDf5YKM
Y4n+nba025JlT5AgmCHfB4u0gwa2LR39rI1W3bmWbWAN3JZyfAzbsfJ73MI6ZTT25hS3tR4/amze
Tf3Ae9vX7RWMQyxyIgeNhP8z6TcliO5ofJ/n2yUFMiYkjwC7fdTASWHjVTnzwdLRfYl4T+FMQWn5
1fJkrzJ0OmP9UO31xriM0h8dXlCNMAs2NghPgRMphzInfiu6quXRa8f7KJk2iVFtWy6ndcY7CVy9
hVCRJi5JCdNwajm5ZxJa1FIL8Vl7KwqgCKF61ra1ShL9ILHVfWjHA4t6UHTn/fyKY9STx6s+vmOk
MmfvUic2ldVuLO0xJhwzSw9SfqXGXiOc3SJ1xBWGB5MIrklKAwCcFpIPhwip6Vq1ioAuxwMxnNsw
yymVrBOC2k+HiOZNGk6eZcSbLrTPKXB2+BL2lmXeZ3F9ES3G1ZyMuwTdj5KkfuJwBUV4F0aGn4vy
rAvjUxIut4pmbCeZpNmhNjZKZ+95ovZ5MmwSdmt23m67uT0zybvvnXxTZ+EWADKyuJSmSSG4cDId
jfg0mWI+VcZNKtvH0UEwa6i3tUo+OSFj3mKuqElt8uaxoTGXB/OsvSZ2uomNSAV61gYKodyFvuwa
UiDQ/IGFCsmdZeK5zafwPNe0gxp2W90MPUx3Ea/l+EeTkA+iO7tQgXxHqOYu5lW2ZVgPzjCPfTnS
sAP3P6Kxv9dQ7Pgip/PKCnDVxoUNXwkWvN0cZ7neGmnI05fcz41q7QlZ2yu98dLEHbd3ZwazWTzR
A0kDSJeVl3YybAAbaQZb9WtbzC+VIXl2nlyz6FgeWUB3S9HkyASJfl0zg/re8JpID617hzpuCUYj
sxXKuUYVjxJhHQP253Fno7nfosQlv0B0gZSNNeQ4J9+XNaC3IjEJJ8CdwxYwPSsa+7VcshsgmblX
NGzpiWUgCbzHAywRs5UR7eeqUkoXph2STTiK4Sqtl5ui4gP1GWHjlCnsm4lhHOM7Vp5NG6nBWGq7
yMx8w/mhGZfVXdbCBMssmtdUUSYRAmrCNHNeMckovitRbYAIsoh2QccHhF9+oY7DpivMAS618k4u
QgrgW9sPyRLUFnhB/CLoz8JdNOFiG1eqkxEk5Cy52houWkqBvjjXraQcJczabp/qR2PUiL0YczdM
JtVXYFhaanWameNpIoxd2knbGa18VS7vJBEA8k8HFbOu6WuGtcHS/Fp2Fd0oZ0+uEGzL8sJMIpNG
a3k9ysnOHLW9XbQ3kh1uzTK8B3BImgW9ikhh5yDvFPYvwszOOqs/jYa29QppAjxFC5G0lu3AOH6Z
F9t1FPslncWJEhVHGo/PmGkvyTI8jWCdT6mz16uicsvlAXxUHjg52Z5mFJ9LK9KGFpATFJAYCUWl
XxqQ/uyclq2xaD6u32vLKk6Npdb/MYb/TwX0qQJSIKH8sgQKuvrv/0OWNRxlMtf/AID6+bM/SyCV
1AAqH902IYPIBvXuP0sgZc0p++D5oE+D9/KpArJ+swnw4aeocwxFWfn/v1dAqvIbDkGqI7KzkF2t
aqV/owJSv1ZABhnrOGeIx6IGQg0gr7KLTxKHnD7pEDrgB4Ak2mvzZjafEgnJzFZe0rHdJDiE4fQl
eqZ6SLGWkwxrhuGOsIBqL06rldZnRn26nQFhRCDxzIgtgDPD2FTl+LwSWKjwfQ36uR4rsCIMmUcq
qJusWHWPsTiKxcGjzV8wC0wkuQpsXq/KeavnuJRJOC3rJ0Hed+qqjqaNQaLH1X4O5SQOZrialx1U
wAiDdRc90+Yk8KWsO7xtWjtIwPyx8t9DF7Sno7U0420nkwQGvAG/BkoBS5s3PR2tJ8mK2TFRbwKU
LXJHZSSZkZvuShUGnR3r9JCecxR27TMGIZBrY5vSJ54KdpGnePDaaIvnW1av1WXRI2KD6MmkNwxX
MeXEorXOSmfJnK1lhI54nNZdCU91WmwkHTcwHH6apwrgUCxlpHSRaDJvU1meW98es/gBRLF+XYz8
RpfgH3gMIzv3IhDK1B6XIjOul9Jhiq4oFQCPPkVQxhjKIMstERr9z1yCfxKSw7jN9Ka6lu0l/4Ep
TF74PbnzQKBP/ky4eTnDtYMIExhzO+PvLjmpkBdZPtYrmKyR65gIipReKDPdXr/Quy68EiJc3uYh
w+tjZupTG4fABZBSxuzNqg5URDwN2MtE4zB5jU1reERPE2nQ7PQu9my5s8VNUhvRnuKzSs8jK1df
c1UKaWvpCDyCRKgkUDbCJKrKwWKZ+1JU2+IsHwxSkpRm1Kl44m54iNWaZgN4DMKCC7VMLhOFvrzb
zRI5y7MkpDtBhGlLq2eg3T2OkX1mtahi3YYXBAao0iqPak4+q2c2IQnRZSPGq5R9MQ7qQlMew3TV
9Ou14CRETJrpUVfcHMBj64pACKEyEIvDBAJAjavtUkvTdSRsVzblMZHmTN/YSxFMVDuAgmsjcyCK
loksb1DLkA1AEhn/R2OgAe+yZ24aRSUjjshS0oYIcRplCCbWyVhjIuxwp6aXHTdfVhlxNGW68Ons
2JUv2YnxYOqlnG5TdWSzTO2eT6VXDXEd7TFHLTSNGkHizbSMYxIwVR3ex74neLNYWuUe6DG/hS2d
gXwCZlyQGmg8EVEM+VONdAmAVk1uIa9xVVxUFq04t+5j9VSC3GVBuFjRFJC8wVRY9HJNYBudfRY6
UM0Dso2BWkCm0F+jua/WoQzUC6vRsmtA6rUvViaG+MBj4D+x7poPaAajv3HmVIvuuV+pGukHYCMa
bPPe+cBuYL0FwSHmDEKW/oHmMMwyeW4IvU8JfI/wB5H8BMjD4TFgcLPyPZSmFofFrljFPm2DL/6h
tfvMnvuTjotVHjsqe1783cwC1s3mp6U0VSm+55ZDtgOzaMxXRYEUd37D2+jTZfn1wb7qt2S48yq6
NF4RtkGP6cu6reVgjO1BB4YBjNhX9OwttRThUzoO38jT/qxq/3Ko9XN/+lxOyJByMcLES+jygJqw
MGbFuVYETSjR5M2RpryuHrCNILhu3/YxFNDIItU97iybWF/FDH792f8ky1v/IBP4Hvt/hJXmlxMd
LzTEMbTRjJubfg/bGlq+1ZTfCA7/4nLyolWBRyHNIkPzi2eAxjJt3Q4iPZFi+N7nmAAbRGjSBZWk
fg4qotkX3Sy++Wwfv/azjpM35EoRw8qxiioR7v/xbAtbqx3eq52LD9mrXLQnwf3ivtyexe5F5z+N
Ls1oN/3mGv/FZ/3DQWm5fL7EtpWS/JhzUNv40Ye7BBlBze7AKEm0Ue1vDvb11v36CdfL++l+wq8W
iXjiYJBKYBiSg8VYoz8MuL+/eSL/xEX7eqj1T/l0qKIrUYOsJ7MJaAB78H88PHCe7Zv+0/ah829H
N/rmtvmT7+DrMb88mXT3SUxns8QFjD2mUR7JaW7pwU/57kjrVfnVrfLlwbQVLZ8V4Pl8OsOXvfHQ
uXe0Ys/Zbd22rrH/9VOnfHe4L80yTSN+bQ1Sd2fvednIWyBkQbeJz5I9E9Xtt9duvdF/9em+PH/O
FJcIYznc6D1zMt2X0j28e9d3v/5U6x/9r49CvNcf7xDdSMF3rUdZNlQXHq4+jwTo767Urz+LKX9R
2+PGVHQG0J172gTPmXfzZmyf7q5/Rkf/S7jid5/ly9Ix5SiWaoQSrn4ZbhuS+e6IFDqE361Q6yn5
1Sn7slg4LR0CgjYZJu+QAXmdF7kv1ql1+M48oH53oC8LBVbXGCY5B1K3lgudxyU366zhOVL8yjOC
0m3dY+seejd15/tf3xZ/8jP98Slm7/bH+4LsSJin680Oe2yD+di/KbzFfQtdJuZutSE88bvT+us1
2Py6E4vElJjsCzpXY+UgrICna9jx0vVCl85bAPDKtz3ier877nrv/epyfllFMHT1ZrOe5dp/vCt9
YOfu6+Hi6Zvzua56vzrKl8WD1gisj2b9dNfqoburzpqD9hxeEDvFkKl+mm+QC51rF8bNN8ddV4lf
HffLKpLakmrAsfrHapyfV6ehT3fHNbxbZuL+O3EH3EWy+/7d8vXNcT/eEp/ePPk09oOccVyxIeLM
G4Nqq52q/rd3zV8dRyGbxVKxmtBp+PL5uswuSnl9meIYDhTeOJrvcERSSY+Fx9D1srsgHW6LaOvE
2X9zbv9qVft0bOPL2pk0UBWNcf2MPvifu3zD5Hsz+9mm26u7n2bG/zSePjWekGz/Otvy4ql9+vv/
PPPwvZXYL+b963//188f+t1brEOTAq4ra9SujNxUFq6fQzfSLdcbBE8LN8tPBtXvQzfmaiqdKhn3
sEbK5QcJ/PeWE9ZivCLU2jp0YNjElKz/RssJ58wfH0lMzexX8GWpoC1I8DK+LOsEjlhJmdOez5u4
vavplD62AGlukOBCfmMvLIk9XXiIdLVsvkaAdG8KNSU2VyPo9UjqTPVu1SXQCOgV3UZm30PAok7c
lCtbnRUzAA9xRMz1QsBEpjkw/AZaq6QH99mFLTGi9mPYJ5Nr1W3yPJUVmlQU1/hy5a6t4kCEADJ8
eQ6bB5BG0UNn5qnjkXmlEhHRTbhTcg26uN9VxDj4iBzys7ECbMMkLaEN0IBryn1kNHPt2lWHFFlO
Y2U5DJNV3ma10UOjAHPqIPNZjFu76wnItjKmnpBJevmK1A1bcXO9Lk9A/i/x2ayYCPCsKVEfZaI5
mx2zzJLOii7lF4ixaNF1YViawaJO6q5pyOL2JBmHL+yZti+BR4rmmmxve/HJAlJfHLtw7iWjXsEc
NRQdCK4Zrg2hdGcCB4B+zfZWX7ZNgbMKSZYdTm4h2aTbS5jk9qbSLxcqnKyHQmVD7i5lY55qokqe
iDcZm1X0MbNvQViGxr2r9FtEcDMRChb6X9dsRTf6zpD14VazCgxjfWdPA4OdkvOWOnUBwrLEAeNE
Ye5PQEWDKuxmYi1yU39IjJ7EyVAD7Yd32skXz5BR4fumEk1gKxeiP13wUwrhznqp3FQ6uS+upUVE
GY0MUy97rWDMh89GZY4AU8m+q6soKjiYWr3XJZTOXcr4IPYcLAM/QBtCoSUfqHjIctEzsmkTZz/N
yhRBAJnDe1Oq1d4dCLYSgVb0IBydYY6tLZaELkVapsIeGvIwG72wNGJ061JF8GPSTeH9HGGLcnFA
Rhrg0lq6tUSXXIYtsUDklqAdQ582ATRsO/xKXieKjrmQUHJW+EzSmaOF9bGcp0QKWuLaOUkLzCQP
I0h2NeMSWDyFVDb4JZUtIQxFa4XjHKp5u28gtoZB09p54YtYH48WskeahvVkPWeptKwis8WiPVfj
u/X0KG8mj8wREuWrdCrulbwa7+FcaBdSnMeE5gncXTgoO3GaGkn4w7LL+b2OybrwUsR/VuCEoYYy
TEll00vVckw9wxHdLRcJXfNUMxSn4zvD5wHAgTImEkn0KNH25X+TpXq7KuAmd7Gy/FqDEdv4hhpC
btRg628GgF4XRNYI/h0lue8kPYGiZh4yoJUlRb2gW7VSS2iiX2hIG3/AG4cTCi8SgwqtRE3bV5U+
Iu8Ke9sIiEmFuWn0Dt1dSbci4RPkNx+kLkODOgL8wRrSpj1Vn1QC+LYTS7kgjdR66coYtXSBaNaP
TCG9NMRa3ZOWeidjvwZhFyWgLiXyR67Urh0vlVYmWmpSU8XYZnmBLMtQJLRXRPItDKucJU/8pVWN
KlBzzHRuUjqzgFcwzZf4Aq33jpk3Ro64tJ7LIWsqb6lW4hTaanJ2aMnIOEHg8wPjNQS2NKMvCg0l
lCwQgRWkroeIAginGo22DlAer+TNAlR1ybUg4IuMJK9Iy+pAsBWYhIRZl46Ro9IrXxlC7TCweE7+
pJfZRauBhgk0Ix9uI4Q6rK4IncDLTmtMfcO8Ids5zFflMMkf8sVRzuJ5lBmf1ppceZB7VZw9GShR
Fw1+e1FmRCVyWapldOWKJ6Ic8bP4+dSkskvjJc2PHTORS5MgrXfIRWj3V0cOlqqhMJmXhX3uVzKI
Cn+UtexN1efslSY/quIq1wQ3tKJanGqQ83fWHCUWQ00ScPzZGdClxUOq6VvepovtI7JswPtimd53
DLXZuaN6E5SondUcJGK0jlreDSmE6KzVUA3nuGWqsqwNl1QgtfWmTGuIZ26O4aSbxmkfWQ69z0FK
AQBrzQp6sSsdGQHWJPqaLJY3Iw6xZg+JrT9b2+c4pdHY3A9NYbDxUAyjPMREaqK2yEJjA6nKuK20
Rmn3EXkGxJZp4bSTmkj0eH9q9a3BrHjGewW3D5KtqN/FTT3u4N9G2RaKIP6RKjEVwEO5UVwbHU6F
diZMJ0i7Mbx1VFp5HnnRdr3h1NN/F2B5CLbJwfFw+9gtuisk5sC0ZdiPbRrydopTTQ2GPG0K1+Gy
XuLpq68MchsLP0f6eIMAurhTFw1hapwq4qE1o+TQrMmXnjkBavTzeahunaEG3NQqIdPOLIOG5JJA
pZySUBbHAfCc5MnSl/C2zgFGuEvbJy9as4Y/OSnDkTDTOW8J/O8nNZqlV6KvjMr9qHX/rerzvH4r
r0X79iZOn+r/tf7oS0XSWRLF4qMe+ue/zoe3VvTt29/4xu5vm758fRJJVX79mT/8iu5/f3yZGIVV
cfWHfwQftd5lz8W4euvAC/9efq3f+f/7xZ8V4w3ynf/+r6dXkMZ/JeCi42lTMf5rss22Sv7+f7rP
9efPH/ld9GX8hrxEAe/vUIcy2WRD8rP+NLTfqPzW6BpZJSqBb/k08lR/00hQV2Vy1zGwU8P8c+Sp
OL+RiQE2Q2Yqqiia+m+xbRRa5F8KUPAA1L8fzm4SAqCr8vVPezNFj+3ZziLTi60KTmA24WTdj2Iq
4UubY3g2lf3kbPEIIvMxVwdsEGKyfU/MIV19C0r8KodZi+7DSPvoODkoDnyUFbCkMhMdLNoMBWcJ
LtSluExy5nCX0WQPyw4f6+Acwolm5GQ28DflcAtcvwH4SLUYqJQovG+JIrdD7AeGU3eY6abXtK+p
OfO+vp07e40ZTLu3RejyCwD8BMxKUQb2pKFfaWSU5oqBkkadTLE1bCFg0MnVNaX94E8GvGdS31h5
HGwn0kFo0vjMdC9mnGsjTgoGhO7oMqYaAB+OSTKuM5Oz4uUkRgSmCTsHu45j/TB7YTsvoRkiJdXH
emwDs5WSbjMw1OZthzq7A9gcj+1pWowI6kdzQcRDseFQNTSia1+XdBhLLwq1eQ04I0qNCNV08UlU
NI8N/G5v0MiyIomgiS/1WaE8tHJeZvelVNk4/lZPoJwYONkW3vMwXLqCuS7Rv3MR6JLKV2F2QUj7
MBOm5pg+ZbMOBDFta5XOygKcHZfoLB0jjIvtKrJZLXhFY5gX5CnwLRRrank9GNq4hT0HSFweqksM
KxslN/ZmnZj3M/h+rHIIigZQbqexgf+pmVSrI8ZQ3LYdSLF+llsAlFpDnG0YS14FmdMv80lhPIYT
S5ra3hVS/QIakJtQnbuTJE/f4yXek2l2iRPeJtGcDHgQdK6QxVnd8Fe9Yr7WKnec6lsnbV+tIhXZ
cQwnamCtwIDh4Q11to5ZmeIEuV6Ddi2twjKoizBTXGwV+VVc4ZDlPGXjzSDHfNq6i7pDkzkvEmc2
2oDJVUMUVaVznfciep4wEyee0Jo03JNf+VJlmlfN5aYdjF25mK8xEZCBXabohfBgR+aCaSZpNr0R
H1thneS0JT0bq+q+6PObLpdr5MOx7tXmO3HMVzkE0+Oo2O94/v0wMUjKU3O6l2LTNXPkhYR2jL18
Azf0SILb02TbQS4ZW7hoKP6ayodYmgcykadunzirb7rh7uniExvgn0RUwIY09ajcLuyXjU1pTc6x
Eap8asNMLXxLsc+mfjhqpnYHf+A8l8ZT7ngrZfwx2sNG1/PkgAuA8l4qnfTCzJcfTqo9FV2dAUEu
svRKisz7yZxKwPCR1txYpa2956h1ymPOaI6bRjM36qw9FPEKKWfTNRyQclav0Rp7sCeiI4k3hQrC
4IMmf8b0HAwrAp6xPdGWpL+YbXajddFI+yiaTASQI1bN/VQoSYBbdHAQCQqwcseeifczQ1lD3mAG
1g1gnDRNee9rDXj1fVRZM26UVKktr7AxfKxBs3J8GBFFLuJEinWEYAj15/Rs1sdM36Kv151jyHaW
C4cqFXV7jW4N3QRbP5yyYy02RFertVcvMTsZKskMe2REt3TEKH4QVmueaU1nQ4nGEVBm4EHG1RlY
ltMNg+CsfhqnUH2oCljKc2MTatSDSc64cNSPHnWRdOxyHn6XWfh401k1/1fPjFxDDkt5i7aTt5Ab
iY61pUpC3LaRMa7aMttmS1ERhRftLUfoOkCBhKSFIJ6dpNkaIY4QX9dreYezi0rDzvOs3wMYYu3L
YCk2RInPHWRnbRzCc3bz/NFyCrwCiQzmy/sxqkmX1nqtVreaFAux7VoH9iRRErVdbGQpitY5+SnZ
FrInpNLcgsyOArPp+4chzs8VubgnDu2iHquTPGopHbPxPFYF4MDFWD0pCWMjc3ox4eRcNv0iQRXU
G781G/yxsvJG6sWwXaTKIHEwJCLAzNJHudHMddIdbQpShdmsqhd1ON5MMU6gJGcU70Dz2GeiWi4q
5qpbKVFxgsumDWp2Okvitt8CVlY9pABsQ3Sr9nkHGOfQp9E1tKI9ZwhsgytGC21khe0NfV6ecuuG
2zyJYWBmeoq8eJlOlMQofdIOLpUYU9akY9JP+CP2XVj8KOtUCzpTSw5JYY8BDYR+i0djPFnGedra
WqFue2N+SsfmrikBF+AhOCOr2XSbWW4OYzTK1xlSAWynsZ+r9W1Z5fLBiatlB2dPOxr8oNeHUbIx
jcl0TRnWf2XxFom5xVdl6jtbo6OswTxq+FMwX2na4xKB02aRY7ZAZCs737i4JdtAcqeQjx6aLYo/
tS23OUzly7qW0o29LHOwIIhdYhK3eSegLzQBOmODP4t19bHrSzSOKGpJWqEScmPNOMNeMx4TMrfd
vKZqHxMz9SwTrz+D55RdYpJ01znYiYt+0NWXPinTu8ga2D8qbK7bgJaQfsXr09jFhTqhMOZ5UOrI
HAMCddIH0DuwtS1FbjdK0aO1XOxB27UojH6wUTXhLE1s1HmUF7HpPxyBoamqD6DQxJGINtyCY1TG
dKtIFb1WEKHfaVNW/GgJGfbCui0eZGNAf2VPkw3yWNIueXM0E7tQ0bxxD+XjARS52PeV3N8RAjy+
DqKZLbSrq7kRe7DDLatElzTBlAuEBGWPnZU+hLO6IuFBy503L8sbnlX5wl7MnOTxRtq20yydmlRc
NhSZur7OmJZnARoypLxlpEA3lhG+BDiVNHI5WKwK2vhqWJtnWWdKdxppXyZhzRexOYX9rdS0lUpi
Rkz+aTDEienjSh+tYBbq6gOH0ayu+NnVFJjGyTVpMNy8hL94Mu/1PQFfTecZYSFfAe5Qnmejzze8
7FS/Rz3fejjpSEwrYQL6nTaL6yJ2iicxmLUGyL6Nml3T049L2mzuPauxlQeQzKSqRESE7GcHvooV
Fu2ZqGQVwPZUZ5eT1jbPMmsdiqVqFil/5zCLzaCn8uWQZNWRakgu/NmajHOab6OKXmpRWzqanfyc
WWTT7sHnhiENKjVuqTwkB680UbMsmF2GocdDfhe9jrZMwTTSlMEunBP7vckBPx8IUJbQVgwsy9Bh
EmRn4LoB2KnwNnJtZW9YRXKZ/1/qzis5cmTbsiNCGzQcvxEIRc0kmeoHlhLaAYdyANPpofTEeiHr
PWsykk123b+2a9esrER6QLk4Z++17eWH16WfF9oS29EdLsqxPOKw4p4tiTmdnKJXkWmyZLtE0USG
F1765nLnpGynTKH48fp7Z0q/3yg2wnxXc07UakFNwbwZPHxIG9epmNoJR2KiRdCs98aYr7Rojh58
M9BOin1tOisaw+j1nlorW5m6XTd0FLFbvXM1QWMXtNQE0ntksi6rPJRrSWL6MCHFxWWgO1KFaoy/
WAuQEmPeo1zCth5COqmYfNpN0xu+RO5InBMArWFctiHwbhLFbbfWyCUqCryF1YRXVClU/rEt4Bvd
ywVn6kMu8mze+3XYUlFA6b1xaJbQcMIxhzqpoo4XyEMsa+jJvTs/FV5DJ8Whs/oTPCEJuCLfSUUl
u4LA8GnAoVpvVKD6/o567HpIwC1PlcWuK+ywaMY/YVgZmj0VKOMnGfLcjFlWC9aKODXrvUpBm0dK
hvonAV4fPXy4J+Ze91aFi39X4nsRP1x4suklANzhkwvk4dCNdf9NeMpXe+KfnBgPfRDfpqw1X2yK
CTfwhdeYsTq+GWLQtnzMTW1cUMYs0p0rCnKfFqrJ8QplEsM1Vb+uxBE8V+Vt0mRJGNVtZVzFRWL9
dOqs3lL6/KVzQZWOYkAM6QJZOkXxVn7XXOXPxindr0VYxR9CFYoomSf/uplRQUoZD0ukwnG9hepH
ZoT6JpzMMRq7qj5lFieTypuCPUwBzNlV+H1wp+EAzt67QI3P14maK3Kmpqn5dcj3Nk0/gwQAmnsb
tqV7ZDHXF9CfxN4urCsFOArPGbcHoDPpZVbm7owpg2rQhDC88BGOj9L1xI9KV/0HjrpeNDeAoZ0J
dSBLl3/poXI9ToYC4l+FLEE4gS/zvKquHC9JMOO7bv8gXKDghmqktXUdvsaOifsRe04TFUoLmNBw
wHfEo1vkmTUdRjrOKnhcnPh6CfG9AGgHJFPU5iWUcTalc9AdQ+J7NhiMCUREHLtwxZiuWRSq22IS
1TZk5of80oPJ4jPXFy4sld0cWvRTEL1tQSbAjCe77cHhch7RwAHkGCq0ZyMF06u5qIhkl/lETIOq
HpfcJNEzxbBw5FmaR68TH/F1kQ8y2XXUpSjcbbHapugFbewSYlxnLSeLX4hW1ggOrDoOugLfKu6N
rGpOKhmtSLL9AF+DtzLIe+MqkHVwzEMfwrpaOTDSMw+qLlfjbsVrWVl29QgbvP4YJm55MscQeZHX
tPX3IS+WDw7564dMeuwm2XRE1JicW2NIBrIuPONGjEaPu0WWuzZuePu9TlKUb8IfWWCLKMgX51R4
o/oydDPbk0RCb1iNmoMOYCi5ac7MRNkeyo5VH4KG2iOZ7IgsqRG5BMeTQk+3oPjFYVp0G9oL3cFz
CRHvte8cam7YsVLZchizUB84Y+cYTXoiVdPyIkf2eFkOpoOfu1MXLZSxU2El6pIIlGwfBjHNH11K
QEgK6rtNBLyfmu0Thrp+Z9bl1zYo4l0lccAYNSrRhA3Lrs9mbzdVMYXPheiOI57N4TtFj3krKPpS
Dc2nCXiEuyYYxX4kvYZDT5/WaSSstDpa6fAhBd96O5fxtI9N5dGHq8L6u0DgunO7ZToYc45kzV/a
IzpF/9iHsnrAOu58RIQhTnD0xx/WYMsD0QjJLgtNm4uARAImxnzMvQS2iZtdaeou1+Qh50d7NL7k
rpU+db3fHTkKGDz3/LG1/cjQ6cKj6ILdYIueeF7m0UAy7bDKPjRDbBMW5fqSsCizS+60jr0jJXV9
4ptKttibM3bu2l+dGJ+g9WD2C0ntSPu0xDok45OVFawUVjPsIS3ua7d3jv2Qlp/qYuBPJiY9PJjE
dUeeDhtcX0qddL0CX6rhhv8ctoQjt5VXh0+1lR2q1nAO1uR9ngjE3JXAMj64SMA/dOby0QgxpPDD
4qNfgI63aCIg9gRdmUzfljz9ZJhGcFph91vXHpsTjdTPnjXKiy6c+hOw+h+6HS7LBCNb5zX2zhum
elNpssqWgbibpAu+s1H+RReAbc4M7cZtUihF7kHmprqn9lxGxJXOUZs04HVSYdxy+HDuutnTd41N
Cu5kYjJsgXnuzIBSF9l0T5ynP/ClYbv1YwoJ8/fC7NuDH6RJVGpWYzhcwzYf8yuB9z5aNN46U/+y
p8a/moV2jsosv3RzuF/SDq04eaaHsu2mY+1SCKfCnQKWbO98OyfO1Yr3Xq64r6lQtz6Vq21YUczR
priqm0lHvWNhKxK+cUVNHhhAiNzfTJvyloA81PlyuK+ner7tnNLHW9QhIA7lEUYcLVJr+iKU/Fpo
HFEApfNPGKicHQta8EQCR3kE9fEZMbUGcEitfMb5cEnz73o0q70vRpuPTPOvG6lxaHrABuEiH2q7
dfaCCmKU6cC/68ohSldm0JJPd0tj7VfoPRQOkowSt7jMCqff9En1tSF15CO979sMPi3JIg1eAnv+
YXV0THUBNMZIRsxwc4XYohafc2+mnJERD5mvMc22EVzTIbB2gwW4TFAOvbFg/OHQTy47jU2prTGR
qTy5W1RNb1U9lgTkHWQTXAiTJJQgz2nFI6rlrBTeFCHObI+WWWrkUW5zv6EXAHOZNI0CuQ/Y6m3A
SZGoYGaffBePq511H+QIbDVGib1NmGK2g+p8klgJA9FVcl/Anuesm6AmFzYWpmE4NPO6+mXNx0pO
Cb2H+Gr05j0MohaGnTrQ8bkNa5L1gqn7gnEP6N+sPmdQVplYu3t/csnbtOLp40TG4TGBnsJyPpJA
OeviC4nhPxO7uSmwIhw9KGqRnxPaXWUfhkZ+yxYe+WxeunQWIBxgIE1kTkPNz3PQF1P5BXQQZBxV
3wGo2ftBoyIhgRl0Wb+nLkRHK9foe8L6kar4LVu4mb4inNACTfwetuSJfs8vA2MqBCNSYYbZbfdt
RxxCA6Rh65TptbLADY5ZeiFbcWFWhntC7w8uHOfrRuMB3MW0cfdDlqtbkHqc9sAHsZiDzNguVt9v
19bonvwF/p2kfYoTl3UsvJrqttsN6TREcTJ/UD2nNrXEj6YpMR6XNya7hpNhGC1H5GXhBtufmaW/
ltBHAcr1jypm3iEej5CrhNtBwDEsRTm12x7xfqSS+qSIMJ11/CkV9VOONmLTZvW083X65GbS2RYt
e2zTmu/JvHFw7dQX/lDbB3a7+W2fjzu7WE4U7C5nu7xKpvohrREapM7lSIF5ix3pmJNLU5bL2mE/
5aI+harYkyZxVQZs52hFY4SFHAfYr4P6MkYINQ6eaRQ7kjiyTVMGm5T0bguwetf2J3eG2dBjRnYp
4srau6P/RlZgUlBO8MStduFxxUAZJOc2e8UpjKLdxm38O2a628alOMWZgnLbwOZSnFDgKGAy5QWa
ceMm2eVSB781B/ztkuYV8Xv9VskWUOoaZgFBy+6xhBBbYZvJhUctJ23ySBbtqRm9S+zzEHbs6vdS
txf9ZN4R13MDgedrAZ7qOgnjdE/FlWmio5plsauC5knlKglwEjo31K66nSWrr1CPj0P1ay51JKrp
qMblC726rxWdb8ebLpfJ2fPfiVPbjLTUBTvwrnySQXhlEvQdzss1MaZfUkl6DKlHrdscYRIpepYG
HyiJwfxVdtMI/xpUanqTlCkmwxH9RpxfDXn/gLqA2m6aWPIxCVr7KDuARoY9f0xV9t1XoR+ldurv
VujKw6CdkEKv6upT/uckN2OysiO39XOx51grxZE82+TnHHhdsc3w/N7nmPn9vWG5AFZyGcAtAepP
1U+bvv1FhOnaaJiT6bvmb4NIBDySfCDUOnWiLpbiENCa9vfK72CDjMICWheOVL2EqCwwWeC370Dc
AuAiAnhIL12m6vRT1q/YTiM7IjqBIlmkxUemTGE/jgFJp5E/YRLYZGmVPlhY9Iuo6yqyUFMOEqJm
Y45r65Dl7rKKLZCfZ4R/lLGVP1U9LfGI+BwOdMzFq4ZCuDTdQZyBrQJbV0diaHz3GzxW3HTZItKH
yeJQlVBInrZNNfb0uzvp/sCVZoCj8/kqH4CO9NO1QQ/hpLXfnoo8y0js7UVwqnIStv9R//2rjug1
TPy6q3/3553NF73R/3+7oTZxUoge/+/d0Gv0eDL9X//zhQX0v/6r/26IWgjyEMGZJISv8rpV1/t/
KBgrxcI1Hfat9ClXn+d/C/IsQBcgKUJ6qCTL2ygOnjVEzf+BLAJUPU5+/CkecQL/3RG++0f7SjP5
/1U1Tj46oaSo/tY/h+yQcwWpnff8cgzZIIINAoDZtmef1TJXcBKa2L1TxbjGC5JaK+HElaA9n92w
//o5z11T1pn+eB3fW3WJgc850gv+eDiedWMd2ygQ4iAOmf3uDhp38WhRzI9Gty0hyHSp91DAr2PH
xRYKdhXqvmBjdJ16SlsqS//0+f/NzaBeZQm4A6HFvT2TtHIUJQQZ+timUJRYShai79qfjQiNLY67
OS6uOckSZpm+A+ReNY/PZMr/3IQ/ikgTLQq8lJctaQ5MJWsC2iRvRvHOwYWCyiEcqV28c7tp5v81
EMgT3irSaD3LPXOnVFLm8UCEFtFtQ/w0zrnDmdoK40vgS0NwePvZvjbY6mBee47Ymc4Z+D3QldTo
4eou3OmLBuDojZaBEY1+rR/fHupMX77eQCTzDAOsOCAmZ73Bz94iK3Y9XKxcV5AH8c+cZMsn0Qfj
oaBuccxzYjTfHu+VS/NRIpAYQeoJ+QZ8us/HK13qEsPMDO7XgYgM4ExbujwD0DDh/vtHJtBbwcvh
0iDinL0bmb+Ct/oc3Rr7RlKXp2GIN94inZNly+5f2t7WG4kZnAuz6Bggtzi7MLKy/DIZ2I1awO62
cb1iLAw16YJo8M7+CfFspM6Ce+2d2IYz+8OfceH+MCQJxmtWyssbCl/WKm0nYFwtQaxOQ+beEJ4M
e05m6ZNGhHYlxtR4J7LnlccoAg9LK3lKAX9x9jmMwYhtFMUCKLcCLInkK29WXV0QcFh5+4155Q1F
PkLlz0KcTRrP2Ru6OHoI4PLQQe2WZVsOoCNnfxTHoY3hNMvEuHp7vNcuTZBqAn3ABJh0Pp7SQaIm
AZa+7lz/ZBu0K6AhwyQS6C3eHuqV2UtQAHZM7iFKnXUde/4xuD4wkmSGcEfRtLwBqL5EuQtX5j8Y
hXxijzAt3w/PLRUmghS888wm6AEBnMWQYhAA63eSjF69bQSqrFHILMErfer5tXRIYFp/ZgunSorG
W2yT5Xx0c5zk0Qwv+L3YjtfeChAMLsgJSDkuS/mL4Uxz8Tl0Mm8Zff8w9st9VRMs78Od2gR0FN55
UK+NRpa0IFeM5B53BX09v7hGdrnvNHzc7aySC5lRmSCiIDiZ09RcLnoZ3lkAXnkxmJH5mtGEMeZ5
IBbRuI2eDHLu9Ng0w2ZJTRt4dW3F7xlYX3lqDOHAssD84GKOfnlhU0M9EPkw2toRF/8KtByioKgF
3SviRB/efhFfuYvcRBcY9kroAFT2crB4gnvfJ4LiKqcOGfFz1A/ZumTdxwYO8U05uum/nx1ZsXnn
8XyzU3TX2fPZ8rYQpQAhCeB/PmbxtjBgGNtIfruBeHc35pQ9TZaO3r7M1+6pxbZw3WQizFsZbc/H
TPvcaKhEsO3rygubRumurBwgaa79nlnqzLi4zv0s3/9npDNBnt+YCOh9bmiIngUlAZ35j8zXIG+Q
4sAk7nu/+qCXWVq7nJSJ916eV5aeMGDyEutehTXm7OYC3hRl2gFt76elPyzAdO8W4jYj5XWK3s5K
CkPq8Ontu/vqoP46zfB5QF85G7StQm1lwgFSobmpWVgWT9XsP6W+bPemr5y97lL3nTHPhI9/7jML
ATPoeuD42ywmFhhOTis3lVToalJ5ETZT+QmsXP6jrpzqq1eZbeQZZnuyNVjvt6/476fMW7SmE7HD
5uhyPhmYbh1MTgkycggm656C/7wp0zb5RkLscL0IAzBsrLpro+neWQn/noXW15cvx2MtBEd4trUg
YCYkygavQky46u16qN/BkbXv3768v2cFJ2AvAS8gYC0MztfbMcD/kxH0TJb7kH7FujOmERSUWu7d
eKq/9oOXvGOq/PuGMkxIbhhsRZseztmkl6JTobvDjqLqqTUA6ZHeXTgsBeXiwiVz2QGHE8jEHNHd
x7l6Z3p4bfQ/u3qg78jYvbMXeKSDlOFqrjdm00BmIWCEBFOU14BhQyLnLcwL8aKjZjJpU2tlWL/e
vt9/T08Oa4q5rposZBweX05Pvsoyts1MGjaq+xP//1Y0Lnk45NLu//VIIJJsh2tkQA7yL0fiLGHj
zGDVXDuQMpKLgEpCtpfR731K1Ok7N/bvrxSJNMcK9omY7v6RLz+b6zuyBfKpRxDo26X6yYISFRrG
oVVQzu97WR+SitiTRoNsz2fH/fj2xf79sTC67zmgWNFxW+JscesH3y+GjtFTMDeXVgOK2Mul/a8/
yXUUChtshE1SOc9mfL4QQS+N/qSpjfAin90bGMHG6T+4FEG2qMtYNiXml8+tc10fCebaBNVLc0dw
dIxNwDTH9J2J7ZUvnzAbG1vl6mtk0/hynJB9ZKVhe9NVRHcZEghC4g18qzYMpgsanca/3qI6YmXM
0LZh82EFZ29+RxmwVusjMgwUdeUoyhsvGUFHJpN79/YtfO1dFL6HOZTYVGabs0ur8oyshgzlaBDo
7mTmitaQ5VaRPevyhPDAvFBO792TMQcANEjfAye8MsewreOWAkXByirO5hivLMayNdmMx1NigDZ3
Q3XnijIQaNqC9tG2DQ87pZupRzcjkvmdi1//9JdFGXZc1lppWxNdIYC+fK7AuZCLU47ZWKjUvvAw
Mn8jbT7G7YDomPZ+XBQfoDp7/8GEw8ChHfKQmXb+kDiezQA9ekAUDxwKZgvhmcEvPI2CFHUrGIqH
tx8wtNuzq6Q4SZweqXrBWoOjLfTyKunxJHx/g7cRkPRpECFs66OMmIwB5Zet7EMaOBIDgg1KcZ+J
Pun3oijbBa1biDHBmwvrS9CLWm6RQdbLPrOV+CXnZpZkXOgJ+SLa81OZrKeZsUqxLo0m8bC+1fXs
zj2Pzsc8ZGW8DUyN7HiZxnlrx8OIQaqlH7mrONuSezOm3u9uyXMK6VZTBRAvB3WNbCkgz3e0PKy+
yLF/IqqmkYpqaxK7HPK6sUVSzh9L82D6pvys/GE6kgAFhD5mRkV/AmxedR0JCNZABukmGV0DB3si
9FVaTVlwaQVmojat7RbWqgZfDq0/lt62NFzCIwr268kOfWzzwcpnggbGuU0eZrR4GDm4zO9979Ln
8HWJ/XUZAnv1nPk4yeiHDoBMrfKrm+RlCEfYJZTJyugkmSXCpo0b9vJq8Yk2grLVTrvcb8APGSwB
xE74i32dkoVFCk5Ld5FqYW/t0wG5cjQpg6Qtkg1UGXXu0F+YvaeyKOCIAP+WBus9bWmzh0oL030z
iZIglnCYaGME5F99N0VD1o9p9VWzZ4GNe3rODQns0OVcc2PTmL0vg5FkHGcICwA+iDabSGd1U281
WqoPwxwGHPDCob9Py9gwtzby0susYevP3t5hHlEVTjdVOnYTdfBkpq32UPeT4UTKIpMI3Fnkup/b
Oug/ucjusWXQ9JwiQepbsnHS2PqRj0RyReOIjm4nvKnAdSzznvCsSbXTPvdr9NpkmxR3o2+hZsaA
Cc2IyA1ywOgBsTmCmld0URpAY4smS05zlKQzMPXFWyWLkvIT9FWFtgbT6mJ8SesCIh5ENhJOiKpb
DJrxie9sZIXHYquyZhl27FnhEtfZmH0SMS9pNCZVaEQiKIcBW0iD5cctlbivlJt2234w1Ne4oehO
t6xbbsjQMblVuILxQ+rAmzZ5GIePVdiBrHNGMnf21aIKckpRjSH1wecSpUuoTWwzWimk9xmxFx0u
xcculCMUR38afiDLVyJyJHvPpQrSR94GbgOCSVSeuTl9Bl2N7DkRBMJsQzW59qmosBOeHJyMVoTc
uu2+6RgRym94Ww72Sd/TBtLy2qx2ceDoJorLvikPo+ws83PlxvO3rmnR1oBdS5sbSOxG8aGxQf8T
l7V0aqvdjuNOWtJH25ZWXLcHHWD8+Ghh3DHIwfLj8kJV0zwdR6/J6ALbWO+QXs6tu8Vu0M2fUYxk
d5hfcRkhh8RXM1oV7vWhNcUnDSvT2rljRV928c0SuxXVNnNjLi0t+WD2fFrOGMNVk6KC9dKyTo/k
O9ltRIffbq9xzYJGTMA8Fjs7r9P6rpcmgSRACdTPfuorB03MUnJ6McTg/EI3h1u2K714/tojb4yp
WKazxDWG32iT54YdXmau1X2b+fv6lvQNWd3GTRkO19KRTg9v1osXRHLSIyjgYcAxm6CDJlnolDMD
Brh5YVcdlCyz66lfJgiWFTvOa02oX3/IJtcluGJQ5idjHsd4E1I3LolUAu18kaDF7A9Nsrh6U8oe
gbtRKOO29/ox3MHeG7MtuR0T4CadYdgZyLfsCavwUeq0ywziGTxhgP7Sr6071TQKDXU36kMOELUn
P8VIr8aqdtK9g6/DuMQJrrIv4Jbz9CbUvk2YEz3cBs2SDpwjSySdU92Hlr4d4qkMv6nBcxyQ1JkP
Jq5yaTajGxiMqz6ffaIb2HxiD+qQWJnFILs9HaspuJeVk3WXfl+UmPZ8nv1+CG3928XU1B5lNRKE
Usxx3/FA4iDHHGvlP0wyCTMcVCaydPKJG7EtEZ5hvgosbSK/NZoAN0DsKbJSmtk4ZtUUfrCdBIym
PS5ODcmBXs3qnp7SyGtGwh/cuFcmhhF7LC9pCVeIZeh9hCiuyupLAH2UuSFXA7uTvm7LwzTbYx/1
iGUwrlHlizrBJW3jzjO/B/2K+smGuTm1MYGN2ostA79dmP/CbDx/8hOdXPsI1m6xrFd7uwyLW6sU
RXHyq0HprewcnlFQzvay7+oMsUE15GN/E1S6a08ShQWptR1UCwoY82zuJ1s349YfqsHCHC6h5TU2
MWF7yxwIB1+wQmP8GHMXTQeqjBkgPqkrW5uMzHlXOvBJbypzrJD7IT6kZpFmItj5br9c6G4simOA
+dpAVA8kbEOGUVLStSZtEugGIICoNQon3tUVgdObtpyy8lMZ1I44DMIHNNDhA+aHEFnHNgfffYkh
b/0aahYjveV7xTVI078hrQaI7QPxoT0aDuIZeRtdsp+YLU1lo3RjsG0fQivEDJHBEjKZBi67WcZe
hAdwjabwECFvWrqHNyj32Wc0pkJdX/hgM1h93eVXnBvWNQIfpCNVz6/b2SCm7yy+i/aK9np52xH8
h06hzpoiahLFMjZOZtnsWIdJpZvn2Cb4bliaT3Vu2veVmNlmEJDRfdCEXeJdDj04lA5Zl9R8ksQh
FtIdnN/0PgLQSFiaMPNj7ZgAjSMLeqjaTh7y3p/IC4OhaiI+VNO9O3ZlsR+Nxiw2Y2pnxByNHPv5
2MfpCncj+Uj9pJPfqRuk33LEKx1vro9HxK1K2hplIlq5Y+ry8j2aGFDSKe3N4cAanN8v5EmRBdL7
/m3gNX4eNeMKDK28Jvxa8HnSJMFG9VGkXYtJNBm7OvJ7hSwwpyhJ9m0/XSW8V0CrmwzJe0Vm853G
9XGVNXbxWaOQ/d7bCJ0jh/DTL7y9GH0yT8iLCSU8a6U3qGLLrgRqS7YYRA8J3GzOwfBVfaOtNrzx
pwSVCcd01KxNpblffdv9wFFhqt0g7AAQykhY1hQsA8uMyY/ZTEU5/kZ02z7JZpC481r3IrOduAPU
XfbVytwd3W3SGMmPlIipZqPRZc04POLO2ubKHAFpowYhW4cSL8H3CwWWBLFuVLGJmK8cUsVPhDl2
Y0TKk9YbALTg7cNR8m41pa8eu0U4I+njqx80XINhNkPDIftmWoKUnRdmjG6rB2qU+DKKdjx5VSIV
27AUV70pG9wChPMAXLdT156Av4RNLlea6hgX267jpgNCIMWTvcJYHey6IbcpbtKBTRkt/GZLZ5fT
ioEQKd/hK2TrubgLcmVqu+WHpV3wxhnmaC87NNLM2bSL2s8dvtoQyTVCl4iEKlx3AsMU+Tlma4ZR
ObJhYM0YSS+CfADPBXZ/v1tEiwonSQf+2DpEw0OokkHENPHIy9a1Fvd3ovGN7HQV+9aN7WDVZQ+e
Qa1I0GZBQragtuA8SfF9GDPp25GxSP70UToIfZggCMMMWPqeMP2FCyQTNh24iJGNHa25zV28nj27
nFplGCH8eJxC6M0K1EBYt8hvXWEoiPdu9VTPY8nWM3AW47KSqU9onpjVhxh80IInF2Irgnd8J0wk
Oln2fWdLgp/AWlzNSroNgP200dvGbwNzK9ypNDbKWvoV7SuUuBBhJn6xv+OLG2Ob/Xhvhs2jQREH
lIRlBnfaQY26IaQie8Dj6avVsNL9LqqRxBsjC1AE5X1HqlPbzSLF6JQuv/M5Dy/kZDndjhBf50PR
jcv1MpT649x4zczsZVRHsVQJCqIe//nWr8IcDVBsiz2Eb98+jVYSXk51yo/w0TD9Br/cpFuyl9Np
6yll4GdtDVq+rJocENAVJenWCKk9su8niHiTsAX96VX2iLFiwv+wVUE8p9venfJ2y3KG0EoGJTYZ
8CsoFHPR8XdqAGGPpC2vVr9RY9gupMJ+RBmVVyzml++SYk79qO4n7J6NN2fHevERP6PAnfVWa4P4
Sl5+orDapsZuzqTHn21ghNvYREavjp8Bb1M7DeGV1iTLbYLE44XWKIWrXW6s+i85DNN34E4MnISQ
a/dtjkmE94kVh42kqx/1UtX1nSMSrzrWYWpiFSNF+yH3B2w0UgICiIJp4t12ktQPOB10+lcbYE7X
ZcgPpBLISWWkyoqZ3P5jqqq6+DbHUPZkTmRWEsfBJnfDzpWsWOyx1sjSPXE9TjLzxkuFjjAxlP6V
m+t9JIw37XddYqJY06lfQkdyWw467KvSezxQa5Br2/BzZDbqX2bi8icZorTmE6l/ZnKSecgIztLj
hGe1C69azCjBFQ5gLod9bniVMw30rNQaV3xWen6wY2u9foe99sa9Uy1ij1yzSUletazfflt139+u
O5xVdlxUE4FPWYmWJwVzhEwvqw5erJE0Q4Hia0Peii5O5sPRTADEUD9vblFdhxzI3OSyJTSr3bw9
+J/a8LPKzj+jr6VcN6C+6ttnlR3yuGKF+QiYd43qc3HnJOIwZLMvFh9VA/NXDQgt275OdiV3JJK5
mA9EgXY7WyeAjWev/WQ4vEPv/K61nPbW71rv2rPCjzSV71FNJzkvnlW6A4gC0qEK5bSDL/87w2JI
8HdiZOamDaiwWz3O/kIy5bXVyHlM+f3nt3/RWZH9nxv1B7ds+atC7ewHKRSObJxySt8Vh2RMcxpL
PqsBbcCu9ut3Kt9npag/o1HS5IWgjgpxZ709zy6/0a7UhVVIYuM88d3NArZUsa40IsvJm77HRW2/
U7p97TUM0LpQ3PNXIdpZKVXGcVcXHYYqV0n7zo9rMALA0nZkBU+neTTDQyPTYVs7/jvCk78HpqCI
sWx9Axn/XPUGoMsrgwZ8Ngnlei2nztczmqLLCXvdvp0UBCqhcFR4ZbJ/+5GelXS5yS9HPnukoh4L
1yToDrf/jImntvMxvGEimG5DVWWYC+KFxVZZXtY8VW5rj6cx7RD4v/0rztoM//wKFI64voIA09RZ
1RErCR4Yly+wZA3lyJrbt6t98PT2KH+/UFwrQWK8TD6iMPPs8TJ05oSK78nRVn/hIe1GGG1dCKX1
Q+DYwTtv09+3luYmrxFq34CeueO8fH+ZgL1QOVzUwj/9agyUIgnMGQ5Boac7w4AKDQCCNcvrB8Jx
Buvw9tX+/bHSfGROgxsO+hEdxMvhhUvVqDL4fNqe42s/Ea0+OExUUB+Ob4/02n1lL20hZkMphsLj
5UhNuCr7M1q5MRruU5knFm69lRIiAqhWtB+D4OY/GJGIEtOk2bf2y1+OaJFGojjhkgGdGvpHPBsG
WZ0rFNKDGXHXouR/R3Hx2guKkoSmzireJQP85YAagYxbOwlTcTuwrIdL00FFCLpRvvM9vjoQaruQ
FiYwzBW/9HzSywZfq2rkXi64e9m89WyYp0m9M8prT4xurYWIEFGYdc651oHolyJlFAxr3prhES5H
gD7tDgJJfddBa3inefLay0jVyUNOyPaBDvHLy/JrCqizWF8RawzvtVwUYexJEhi7oaxAvr/9epy1
av5MJyEGfe6ii0H2XLVVh0M5IKTi1SdJ6RumIFYMfNXZuDRXopPsj9ijjR/fHvSVOZzVyiIbgAnc
oUH88hKXWCyOV9cSHmCa7nnEMWFnc7xxqnyvSnLWG+Z+mIozER9vj/zK0wxsi14NUg7mtvPcQiqj
Nd43vvQOfOEX2ypIh1GDNR7bZTUnOqncvT3gKy/pOqOhVKPtyCNdf9CzlbnTYe+5KdXPyjFQiGhC
CQfDMfdvj/LKUwxsn6+NvrNAfn22KQznOFltG6tQo7AmtssFOccO8TgwbcgK4Hnm5nxrzeRdvTOh
vToy65BrsR7RyV3/+bPri0U+U+JFIkIplwMGBMCY9EW+DfCDnfWdpQVgA8CZMX5n4Fc+E8Yz2fLQ
6+OS13fs2cAtLYqgHxi4KprpopPmuPMnw7gPsdG/M6O9co2orBz0XMxm5GacLQ+qNG1slxWCUHpk
kbHaTyeP5DXuqmPfN3XWfi6s8D3xzSsX+Kc1jpwSIbi98o2fX6DXyCEMRz6SzOpIKWih40jKrofE
nJZ3vopXXtLQYQpAZLQikM+lC3nbV+2wcIFxabu44Y0p0sp7T8b09yir4MSkbQopB13I2atijlTm
MoUsjmyh4bbQhdwFaT6+sz98ZRR2Rxb/Y/ZEQXA2fQ5CNtSTQ7nBGYaVDfMmeUe4p97+4F4ZhcMP
rXWWcGwr3tnDoTQ4TpxyiC2aaaXctjm0OLAM2Lvfec1fG4htLs18hK68CWdftjO6bkJ5fM3OMnE0
VbAy63T6+vbV/D0rApRmuREIJNnznV8NdhpLT/S7qA56xQWTJ+H1tBK4Ooh+9q4gKWf+8vaQr1wX
Si8qc+ivmDX+xAg8+3yJFUeEVLKZdhwOy20KOhMmxRS9PcorFxYI5kVUwoHrwx5++Q1pRPkJ538E
JiHI2LpMgyu0dN1eBNQ48UG+p018fTzOJf4fJ8D5wjba5hCQais3XmnQDDXKFrKFjJOQprqZ1/fD
1Do/3r7EV2/kqupmlUHy8Fc9oDIz8t24kXMqAUbrGtt43S///n0n0R7IpIdIXSD4fHkjqb1St55Y
YIbSjO/E1NOTyYv5HTPP+tX8b/bObDtuJMuyv5I/gFiYDXj12UknKc7DC5YoUgAMg2E0DF/fG8ys
aomhljrquV5iRYaSAt0BmNm995x9fq7iUWR4bCUYiULqj08rROQnHf7hCIArSv9dko/t2pF6uMXg
BJpvCATs23isN3bbFfvff42/uHMct9CSExtIUflZV6VTM61r9For5bvx06L3eJr70G13uaKft/Iz
YjN3v7/k37cV1DncMOoBHCOY3H7+TpPBBirjj8UKusG893rbeskNCGonw6Zn8CVS2rFoySaMWH5/
4V88MpgbgGhRhPD+fXYXYQPiAAtngxlIZ1xKzyVStqqGf3yO5ePhwsOcBWmdjf7njwdQQPRh0NPP
z4Nyz8ASUQRaQMGrkOeF94cH9FePzrI1o+3iG0Vh/vPVejY1UpnRgpBZmO6l7y5jndRwoU8JSbpn
PF14TMr2TFCmu3/+dQq+RsRWAY+P92mRgR1QM/xeaAswur4QeQ2rb7L89e+v8qsHVBDVyCfkJWQf
/fkDMo2rcPxxqwp/4ROWhvHijOhUp8ytgeIA9Pj99X71kCyVvKChtDibli/8hwV6nsH0t3C9V5Gr
IGV3bleBdEtSs/3D0/hhP/n81gu6DMvpg39+lsqlgDQimTiEWc2RHlYNwp1+1ZI0kB88IAwlFAmB
G147TUDTR1WEgSPWXYFDyvQffpdffMmLdIxyiO/43xkQP31oO3b8akYgOKFjXzNCrPS0kzZptyIu
is3vv+HPAjI2Wh4aKlfchEs34LOADK4IwcY2DXBpRTHw2aKIJFMkiIEkhOINIt8FABQZUZXXlOcm
fa1HCzc48iltw6ujW+CV36xqtsZDPhpeglCExepc2BqBS0Rp9Yd37LPj9OMXdnGFc843kdl9NhKN
RZjEvkm6b8jLXGxT3ZkXw5g7e2Ti5SEK4kWKVbf7BBwLRgujthm2TcK6c/h1+z+8EL/+bbCgQSry
2TI+PzfS73JtMvxcRfOM8gs1SvrhlHG9deGE3ZVXJMbRHDRTorxmHpsX88rQU4AIUZr/TJb772/m
h9/lU0WbINOW6H8XvizISqyTOVF+9p+KyV89njwvGFDpVLHeLI7gH95JNQE+Fi5Xibs6WbtN2L47
TZ1d6BY0gm6p/H7/hP5iDeCE5vNKsh+jlF/+/Ifruf5sKow6iFg9p9424PjXYiqGP3x3y/r46f3n
KovblSKLW/lp/RzRV+ZjT/WBhKR+jiQ56XVtx19xN//pgPHLD0Qlt4Q/kjNpfrpNWsLHYnBOt6MS
2QYFZ7dtIP394Rjzy6uAhmY1o6Pyd/FtLKLKxpuGsilOg105jm4PEigGFfn7+/Orby5gd+Ue4XGi
pfHz/WkoGcDiUyKOYJt3C5lqI5QW1xVc2dv/yaU8GrTLcR0nys+XKtqxRY/DTarGrroKog5tSRY0
etFuD/L+f3AxJMQ09ji4W5/3HpcsCNe3OUZjfkt2fd/hJkL9sgHfUOx+f6lf3SsOfmyrOBY5N3x6
+BZ6o98iEKMO8YprmFHBJTyiPyU3/urFhRYglqYTG8zng22Za59xJc9diXrWXPXzIJELpcNDQt9r
B18r2/z+Y/3qyViSh3ArBuHi4fn5djkddOfCZ0oIkBs58VyY941Ey0C1kPzhZv39s9GDwSggFvtx
yHv886UG1wpzEODFalRts0+i+loFzRnSO/9gNqn+wwf7xdUChPsYhUIOJ/g8Pl2tdwws3U2xQlPp
ny1i0TtUTDCKrX7+EtVJ9IdT7N+fD5/VL/SWwwllvv3peimOMtcyFHISUcfPlTUjzXHs4eb3t+uX
V8E6wmtMCed/XpcMQ/sjPCmsq1WcfQVO0lwCR8n+sGP+4rtbDlje8hQKdu9Pd4ohwBxXAUKuUk/6
i2VF5DzVpazP3GLwH+06yr//44/FI4hVBcfsx/Ds55vl+IT/EAJBCTC5lACF/ZaW4h8agdl6qTJc
liUWdJ955KeDsW30UVXOmqJROQ6WywgIcYlCZ93g4+5WJvfsD9/j3+8W6zr6+pBKlXPr522xBvLj
TZpZ35TX/UnMMgIZNjjDP17dyfjCm4snjtWdqvvnby8oDEsHIfHcCUFR2yIr3ueK4ABIP/+JiPt/
wjv+9oF8pFaC14nC214K75+vFCP1NXqzrlZWPaXPhTKqbdYlf+r6//2gz2WoeDlPhOihcGn8fBkB
0KIOBOgRwN1OjaIlkM75AGXMudB9lWvSVEIYVJAQq3GPLSjU10xTORiXVv3HSdyvPvOyhFDzs5ow
9fv5lyEt3U2BXlarqcm1AjLsJCc39Yp/ehZga8ExyoPJAunjovz5MubEGNNdGoVKDMEmdIb30jHj
f9dq/4sU+jGtj7WeQ8fvkEKd+tcerFKr/vWm/nXb5z+GrdC5XH78P2whz/wLHAgzUXZ19ixa+//N
FvKCv2hXLJoG2iM0qZef+m+2kODPuKG8+CA+TLEwjv4r7M92/zJ9evXMPU0WPO72P2ELcfpYTlQ/
HotNrFsf7i3Oqrz/YlnNfzh8kzeVArOx9KbJsQMRkmc69y2Qln5nIU0lpjhv+nc91NOT7HFBmEEJ
kDzsa+tY2QPpSoKceEZo48aOm+lAiNi5QZbHo4W14lvcBNmXjJCKy663AbCMsSa3KRigfKpEXyeu
k5N2lXDyn8MU740wEdWlkbZeJtfXN2FFU26URfk4hmWyg32LXS/L2BopXldlwu6C8ds19w6v2L1r
Z+2wwufT7oa+bfydKWIi3cK+FY92STzYuhQkKfR9mj0zLQytlS7kfEiTWr0F5Hadg/MVz6nRiQ0b
240KQwZN7kwawnJSuG/BvV66MyE0yse2QhsTgdYwWMa5WwsW6RTNtWImRWzNgEfiNYv7YE91ZZz7
hJtc1WRRXCgM+s+m7cj+GM8WFbnb1Yb/9MG7JnrGIYoQOehQjkG6QfDiPLtM669cnY13Ravt+97w
kcWRcY59KRoRog1y4BsLBkhsSEhjZ5W6ozohxnbmrZn36N8kYvhVFjqLtI9e8TZWxXhnGkP8prLl
A/Ko9AWYNbu+HboAnbs7gmhLpx6IW5PWiKNDdz4fhgCJXdx5ZDbw6Zi3U7qjVcuopzZQJ+F2m/xb
atnZbeF0odwGqRW/RQ42rPUExWjathX5cWtcAHjSTMMdzobKQkmnE+cZ/GR0FQzxpNZLO/ELeytr
GExD5PoibwE49Jg1uJExk4OcBG2aVI+Th/hfIsxBtA166ksXorfd5vAXzibXI6IGgVu7yUpLXUd9
7H8bMG2gxXJJFzSIeOnaAhJ1fkUje5o2QaCsA9WurIB8msXRstzwKsid5KG3RbdXYxDfQ/CFetXF
GbD1ubHE2iMspKdG7qMjykLnsrE8dfLTSlwnskmOpT2+ww6VTLsG+TgGvdwyjKjWplOEzxWY2/to
sLCAeIVT37doSEGmGPljOrhOcgyciTsU1YO/HV2rPPkw91/CcQqNg5n7TGfariQ40SzngigNN7j4
iO0AST8Rxwju9+uAyDe4Ut7A3dSzzjeu0/dPDqr6qyTNYYUBXZZEf3AESbaZhcgR6YyPWrd2oyuG
Gagoc3Se+RY5YxCfmR7YnVXXulKCEw1gc7auDvaBv5i/zB7q6blZFSaCPXMB2g2+N285LjU7PzAI
VBjDcU/2EPy76IOFN8gO+D2PBHGOIGK+ILAAmedKD8PZWJT9GdBteytL0r9XUPXj7Zzbkle5ArrX
zGOObFJ+0Phqyx2vq8Jx31AKIu78IPdRXlr3VN7BnnyjfD/PHk64LFgbftfyf/FSbysXKKD44AMO
H6zA5oMbaGI6uKY7Xm09P/rufUAG1QdwsEq0QcxjnkbxF8aOQAlr7TovCgwqL8MHu5AyNdizbfBe
Inf34puhXAxygUjbAb2rcp7VELBSZB9wxNjmNd0hgyXsIBoD3HoYf2ApmjqL34IPwqL3QVucP8iL
/+bpp/yQOi6OgZy0qsY/kplZnDoI+rSensmvAgk+tdE3LeK2WWmzPfqpuja7OSDYIHlK84T0jzHZ
km9Iorp0v6mOJT4Cg/uWoExa9U6UXniJkpeDLg6+Uedb3U0PXRLcTwY81l5cTml71hcWfqz8VCTB
WxDXt4YlT8pprkMIqSuRqHHljJRlo6Guc+h1K9gP1/Uod001P0ax8y3rgVahUdqO8XjNNy12BMPJ
dWr5xV2rXe+xNsgF4T5pJPWVQtk5Txs8dz1uof6WJBIgxqRYNlX2TRAYFIymT5ROsTWE++xP4U0H
1Jmt5cZvrXvREIdj2u1BmeYVAubzyDLJEcr3TVU+YYm+SBN9AdXkNTbtkx/2uzHgN6bCs7ZiNHdd
NN2YACeF10v+qLtihr7RdXfK1Zh8aexwF83B19JmQ6pRsa/szHnV2FArkNtnKehRNhN62TPgKd4A
3WyqMj8Z5LRMhvst8+RTWcOljINbq6MnHdp3A56HNUeAbNU6KRTStjtG9vAcKFwjGFUXXSACc4y5
6fQ1LaCKs+8gr+5CaB2pDV9NWc03cnato2n41boluGcV2EF63oYhsu0sfFO4pQ+qNh6Yr7EhECC0
QkZIhpeSbfChaj4l4fzQefl8k7l62MXmsuG57B70gXiKSzZBMkoX2TRhpXj6SCuSssYv5M7iJiJK
4dEZpHkw5y7YF12bRWTOlqk6tKMLYj5IviS8wzto+uFTUrrNsemhRcvA+k7aS7WhVpkf4y6Id1qk
b/7sVsB4C/tQdUFALAwibqDmyHjI6o3ecQvQRk+FhhygxWVeaWNrst6XG50gy00dTisoqPQOZN8p
DzyShLK4Wo1m9jrCvDWC8cFIm3QnwjihIk6ba5xV1yXr8cGt5XejN/SG38BBZ9q+Biot17gJ812R
td5Wx9lIlVETHysHO9uCx34ZVY/VudIjqmVVHofJ6gGCdtZrLHuxzmf35Oji3Ggse1NZ3m2EwONY
mN0LWn8iXUvUNWznufWlG/2OzrcHZLC7iZN6Z5PCsdaJ2152EYlwORq+jZqaY1rBo5KNfZN72UHa
LOEZkB7gVKm5yd04OyhOcWgGxkPlRHLHG07CGoLbs9avTuQQXBpp95Dl6ZvpYLiKcfMRCRDfmll1
ZyfTttAg8e0asP3aX4D3WOfaByNr7TOWDn9v59gayVkgacd9rXSDWzusnkRv7AM+HgkDWKA4K7Ls
u+MNEPDoy2gN3X6Jcls5MlJrv4Ns2Q7lWyHtI94dfqi33P6khllvVd59j618X/RZf2vij8Bzg9jY
nfsX34/do5+r+X0qLG/TBH2yLVokSL1H6Cn5V325TofyyDb1qkf5ypEon7bZ3F04QVZsrSAND9gH
66s4SazLNkjGA4kTBMD3xcgSzchyPXMP9vDbHsYafxcamf4FdYS4Ncy3LhTF1jGC6Yj950QU0QvE
KQdO7Byu5WAUF5qz0rpUKXECQY88emA1McN4hWDl2TEyGGzxfJ0pYubakLzNIW3peE7utvY8LK2e
h8smby+JyjqwxBA6Fbq3djRe4USs6JLXN6qLnaNrCLWFULKN/USuJyL1gHC2typKjlQO3j0Mu53p
EDKqSSnhTLXmyIZ3vjgrJ++rHqx3H9o4C7TGbE1upxOzUsqFEkw4t0p2BNusDYLS6FkCGSGFw9pQ
XSIyj8YnY2wZXGnU744k7ox8p2ilwu68mGZrJeZIHLOxvXJaI0cA6m5iZyn19X4K1N6w5udWtM4q
xOry3tWetfUX49Wcd88B0SvXopPvfFeXIQ+otN1TlUKVBhZZL4hRQFoex/LQAf2dq+o9tLtLAhF2
RTqd4+h7qErC+uDDaSBcZYtYmh01SJ6I2Xkr7CHbhaMdr1tsSWPr8Ps4XrQrc5GeVXb4EjfeuO+y
6DQZsNJJOX0PQH5uyDAkDa9wbRhwtH4KL7tL8xaLqoNX05s54VkyQsU7kzmeye+R4b6R2v1Ep22L
03K+t/18m4h6mzSCEUch7N1cjPneyDMefwuecuz1e1kmxyUY9gozenQ+zg4uN/LFV9LEsa3rxfFS
Od62tvsLDkHxOTGteqX6Ebu8ERGHnraHzCcGmcHzAxhBNDwK2kdPgMbKd43HXNUecRqJuQLTma35
6u29V5vhOh84w9rmHF5iKG0o0ZZVHf7n1i1Ft4loWq+biahZwpT9U0E5dOgNQ52mdgbTXFdYMjCG
HezKiNZW50G/JAhqP2Mh5Wdr68xM2N5GipdjYXuaceFwtERrnct8eRyzKX6aukHt0hxOtZe5W7eH
EDSRsxkPRBBb4Gxx7UeXRSpwfI0Cj3CgxGb27f4aAwb/c0nQcWO1WJacbGdwHjqIWT3w7Ba7aTbg
M5Qt+4225DkLHrxnVz7NOVKdfoDKVnQc4PAXCvZ4nL8cqknUNie11TKpvqRp429qI92YuWt+HVMk
hgAUo01t9fvYZqWmvu33UzeR1kGkXVVn72U+X7ph2+wAbDyyBFs7YbvGTnqVt0NFFp0Vmcp3c8P9
DDqr2qosaVathVkVbT9np2i8NoL6NCtymFftjDWuAt/Cmgrcu/Qb+qhRxyw+Ta5z3WUncH0hJ3sD
glRMQJ83Z2fxgnkCNMNKjDTiW08nbDVhziR/Aj/t6BZrYecpGPr5Pib9jqGl5lCsyQSooVQdXLu6
0sbUIKwsTbHxR17sBmPzZlpyxmWDhZqTR3Q5V3wEvzC3pm2292aTgPQPuKg2jW8Om89ZX2PUH8nU
XIdmaW+rbKpWKjLkfsC0cj72KF9gq9xg1OSYHkXWTru5dak9fY7IIYUt0rw4KScWMmBRkETVU6WU
3Pc6tu8TkdpoH4oE9ndsYlyLh3MnnJ6J2NoRDs4TmyTTDSec+V0yfV8TsZ7vRgyYF7xIl07cZjAx
TLFL5TwyuR2BdU8teasJ2kerbb8No5WfMVh4KCe3JQgeSsEAHeLBS6W/zutUkRjobeCZJc9dFlN0
Zthc5w7HP67rrwCnXsirV+ukDtdkZ61powzvSQUUwZcNFi7Hfp6tqWLjnQkvF5O7se0eU7U99V86
b272cz5XB4HTaOsWgeagjGpNhT6eBNliChOLwy9c3pFyvvby8YV0E8D5JEJvoAX3K9Gw38NS2sL5
jA7l6DZXosFGb1iKrd+0cJuZ9nYUHdE+oF+2Pa9iKoUD170U2y7B7hXVaXGtpVfvVUaanySt4Tu+
FGvdRDrcEdBJtFYev0GlTOgBeM/kdbsvqIZfa1+8NY3t75wycb/ZrjYes6LJByLsSPgK6XsOaUbM
AtyCVR3BLEk73yIXI6223G0bN23Ef7MoJJVJ3meZ1DTYo9bgCJ8RSh+F4Um4U/+VihVPZbAEVdRD
su/IfMRebYwcnlS7qZqaUxXdN5pJYXIScW9dC9P4moaCdKfMuxFBexz5uDvtBMXez+UzeLvFTx9N
hPGya/sNeSCoINnkJGFk3ui+Rh1ZSESu620oQerUxoA5PBsx6CYHRZlFV6q1QSx0nNMVRP9JkAQy
lepkCMmhjvXEinPyZULzjs7eqaya8KmI6yvyRLFkZFSMJOdW1l1UV/O2IMEcmXM2mxzrCTqgK5Qn
5m7OqvimJf9svh6gQnSAaTQZMWQ0RIe4kOFrU44RNWdTNdLcNFUdNwdWrLo9VXg5V45hTFvXjJy1
CLkd81DTwwlywKKHrKz81tgy6XJaGDyggs4D2VHzV6WIXcgIhk5XfWWu+VLilmV+0u1GjcKN2gd6
IgLrnfKt8dIizwv4K1OhahMbBR3FahCjDSYEEgsvZht1970TtjYBH3oP14WUV6fxyHBDLtElm8Fp
0uFLXDQpeUvs4+e66XRBN2gCaIBYZYlvIGNAAxItwp1SgCk3U9wDjOEs7rPSpl0Tnqq5BPvWE/TX
bPCqj0Rx4prvAWeQ8tapjH7KR9h6prvqpKSfUrrywbZj66UzHTYHMJFZZ/FzrWUNalY75M2M/K0N
iKRwAvZWxzk2166uL6Pezrp9OLWmOo3Y/eW9E9VGfRZ2Q3qAnR5cYHW3SI/B3J5vOvZLeQzziG4f
J3N5Z/ra+1Z31tivM5dO2LYEwgToqE5Dd8sKWW390rIAwmrSfa2YQGaLSQAb9UQ7DVeVBuqHn0Ds
B6cIsBzSA1hy0iRLu+g7V/BKldWVWU75nfbtWO49RrXqgA4D2SNx97l/pCGWbqQcNmAdrD3W58g/
yzSqG8ZcXuZvNZmlDRElYDR4svLK3DpEy6Q46KetqjVoHswr5yQ9r330YWYfnAnVm4dm1OiGfDXF
J6uqphcZ08bdN4k5nbUpfIgNT3S/x5H9LfDksYL0NEp6IcqfePC9XeT4e7Mrbm2jPDM083lJJFFn
PyRJ+tYMyaExjQ2HqZM5BWcyrdJV07LVWWW+F1K/ELt9rIthQzrMV1+1j0HpP7Ka3zoeG5oxK2vt
eOQJ5Wa+amUxrdGUr40IabLGBqzVC+3CG2I1TxgAdkH/rWvSl2QS31prOmtgWBy9JtDmwRgddcor
q6mPk6rqldaQlYOqJqxiaELzfKhbnOUeshmF0H5tqvYGuSKn8E7nT1mR8lTA8savwdOZ4YpfzSLU
/obtIfVADnSJ518nMxqr9dwT/4ZLDrt4pWCj3BHb4n+pDR6wTcl3nBzhgvEzxdANztrgoCbvMRG9
FjKebqVIuu+6h454RjoYB+ChNdDdN0n9SLtk+Fa5rVevk3GW1HcV795q4HMnh0FnOYQfR2XmIbRg
K62HuSG4vuuc8dENZ7JaEk0+4ia3xvnU8ZlTkgiz0T6bwsmQhxqXxADDCQEMPlGIm3thlFvOvGft
zDq84jzJOIyRY9+BLKD1u5voh3eEXabxV1slUcBdchgP1HVcxBdGYpnY2v2JurTRYS8gd5rmm8wc
FKxNZBE51sk8O/asrcbJImEuBe6ES2X/MfD53znYT3Mw9Oz/n3OwnwdgHz/3fwdgNiLHRTZuO4t9
DiXUf8I1fOsvrA0MndATmcyfA1Rm/zUAE38tllDGt0voBdLhH+ZfVvCXiXo6pIAlNRhGrvVP5l8o
Rz6Pv3zb4gqMTVFj4xhZxmM/jL+cMeZ1lioglJfhy56wePojikSya4z1nn+wiS53V9M4x889wx1z
RbO5HJYscHPazDBFmOlOJYlpQamMYKMbMzmV2HFJbBUaB00UOenXobILf4Nnes72RHDm5N3Z7uid
abvOE1SNc3ekn+YUW5DO7bfaAS5IYiTdwKPP0n7Huk4oKpXdtm0Bc65CVUSvtP2SAyAW64UQmvAe
yRt7TABwr4Y9kIMc8aiUj2AgBZnvenJ2Iyl41PdAN+11VZLR1+Y6PIRsXOHaHRb5N3K25jmyKvK/
h159twOj/TJV2YCep5qA23RgxK+LiQWYKjLMLqo5hgER+l0PpCtqauoDKyREHRCFITjZOtURD775
PUpHxk+DY5Y3Igph0U31RE5JFrmsiWPMIQGKgu1fAzDsyC8jc2vceHLKaTk5WsabJJUJVBi/nCBb
VITVZpjr76TdJMW+Q76uyftkmY/T3n0MB6Sa27Eh1uzMI4uN2O0lHzEdjIksrVpMVwNinmYnKj09
NFOYPUGu0wxppji+rYU1PsquRyzP2q9fw5AKe9VitrjywgIecqw8CFfErIwN0CyfP6Qqaohmjjof
EORsxg+5q+tk09aZS4iA3Ya3zKKEyUHNycWOTcMmtrrw53rttPTp1knWkgfqiTG5q6BUfa/JaxzX
kimTXuXEnfO3GmH7PUkLOnutU+nLGtJcDfYgZZ8MhYxeyZcETCcdqyp2XV11VzwEYb1L+xgZB8iN
ft4GMIGgUYw1+JQqWOTdulPSYopIFDLNUE56q7yXc7UbzTS+Cj1VubsmlfgyGz+ZoAmUdsEUNirE
mmFxNW0n4L+3pZXYjyFiipc8tEnHFTC3AMlwjwhKaVJneQn6GKwdEXqPUVBDMtGclsKLdpBqXivO
u296LHpvE3WNJbeeVxPoXXRDDdeBc9XBL8ZuPJcfybSxnWgi7SvRMCctSmAYLYluzCCL1E/2kRrt
d7+opb/tbOV+AxET3GZIvu/AAelna8yUWDdxY12g2aW15ybvrlWxEbv9lQxS8rOTgIIyr9TGbqog
2Q5uVj+2RUHDaxSGG4AATyeyS6epuXOnNMmwHBd5uq4jFT3Do0sf67YdTmNs3UtOl2diCsonmJzh
dZKONZPPdhpuODw1X2OALCwMUIV4SSxTXhtOowZIL30fwOxzVc6ZdUImw/2PyUhniXxts5K3zkHJ
Are5D7JhjV5zyOmcJdVbbspQrmLDIuVYRhAjq2YwObxxZMj3uYiiYBVJT1wB9EmZkRFrKtdmGkVy
P4qEoamrZhLxgBbB5zfjgL+LhDR0pS3Udf5eGl4wmD6gVHnmmUfVhNODEjqSB9Nugn3CkPXG7YMa
xwUm31U9mQ2t38Ai/G6a8J83/BeLZN+qTne6NsI7M2FQsKHSrN5nk6AINFTKCtciIrOa9MjxPEyH
gURUfywfQfjn0UahPM2/GMMseFbcxHvF1msl+6Bm7kFTDNLWro0T0wWyHXTmAQezLI9pMJO4u7Lp
2EffXScdiLRTdM86WKhmJzgSX2YzA+b+HCpn7BWbpMwlzZFVZaJ0JsK4zuGMocSI+CB47p6oqvNp
HSVRFG/sgaKVgtSTzblJzPm0ms0oPEKrEXR+l5Vs7ROG/GYPlFnrJphye5fBCMPpMPfEdtp5Mrrn
Pvijfj2ZrHYbXZUB4C7X9Nb4W2mlu5GxsCH9DN8+cz7wXfVsDnu0EWO+oroUVOZuUj7MIXo+Vvag
z7e4jJdGZZ5ldxQT7XNAs0asNE1+QW3QNo+W0c4kTtL6eO+x1GRrpxKFvR4IZe1PZeCqZQ40Zhn+
TB8xAuhQVYMhy7z4RBJsLDemimGZYGn2l8Rc2gvoIR0hN0WE/pWGsXQomtVgp1sP+u/daFBQbOzO
MvVxap2OB8oqy6fZgfxwhusIBmoCNQnNgWi6lSCApdu4IFrbvSjqJSc4zapuU1BRWhCFFImHJt3X
fK2Y58FNs33mr5Kvp14bInfgDFL5UZ+Ksb8p8m751LBMwXCNTe3vhOAjkAldIiWIJwfkKECfutmW
XVFYG0wUyuSbGJ0n9IMtqJE6mi6HpoisDQAAI1nNLZLnlUOMxEA4dDejssI7cuyroHNBdfIFbUmZ
jSycJTHsF4KF1ZhORU84ahgYCWnPxHzToyi7o1QZfJpm9mnSR5m9qFpC+k7bWAPjgmImVLMRfh+/
SUNnLZWuA+mr7XuWZKwR/JM5bn7DczK+NrbFwF+1ySMsnOK2GGJPkfRrxjfeFNIOsQhveKepIoJV
Y0fMKhyLfRsmKi11gyUW0UPfRgkYLDejq1RH8jEyRqKPlwWEBcgdbVqcJc5rOuedvh1cew73PPP2
daB1HxK5KPNyN6iBqPN0tr0zK5FDu5cDau517jXWtfRgjtkKbOfKm6A7bYKqrLbgD6E9GdKC1lQJ
qEn85mjl4f8xjTS1B4Sv6SUd6dbXzRM7LffaZT9sVnMU8YdQaIML2QTwpLJ5lF9N6dT1Xo40AsHF
FZDMUGYFl/Uo6eQBACguCoU0ut91zNCw9pi6vU8MO3vwJ9c5F/Uwp4eeJOCvJQyEknawZV+qybWv
zNH0mn3Q4CxeT+XUXc5Dp6Z1pzwTIjNB1xTGURXbKwdeLbdGFcVTGVj1OwQ3593lcuEqUgEqqSga
+ityMLMnZ9Dh4zy2k8t4J+4e4Y0E3+sgrL4LI7VOo+0Fxi6fmTayMsTmZVr2wTkRG9VdbSSg10ij
yFtctJJR5xxT+rccc+mWZY56D2rVfNfUSQi6xtYC25zk+WuqMt4Hc04B7lolTwUe3wi4V1P4fIOd
WRvq6+B34qywIE9tOwOJJG9kKZ7itibPPOua9tUfQBYfYkJsnwOGy5eDahRTLNelK1lYjfvNCg1G
hm0e0maiAU88b6Ad5w56J2NLr2JgxvZtifsxAZO+8vzOI1F2pFiO0bWL1cgU6tKthK7Wvr2wbIl3
K7/HrEyMkbpqDC+NXlrJV0r/6azGdz1vxDxJIG6YmI1NqzhobYZhmcVXVmuTt6sHQDIlbfi3bHQ4
rCVM2M8qL7cATkZ1+KW1K+dLlRDFtMFk5L7PLm2HFVSH4dUua6wHMpP+uW69HsUvCbcPw1SxxFA4
exc4p4Z5PWIG3Apsucm2NxegXK4rF+hrVlLhE/ccnRt0UHq6ZqNx57ZNfesiB5NrtOVFtcfXl54y
HZXPjdfPT6zE6rI009E5SHotO7qa3cLdzgEvphKarMQR4cbMB+beyyUQuGhWuT6j24elaqMi+s3Z
ZsmjIIMaOnxYBY+MoYJyjelz/M7UJ3se6cTCc+bk1K4bw64QAhlNR/uVnWlcaSdbBGhjwutmZp3n
02nWwQVdbhNqNU3E4QL1NyDqclx0Qlm8kNt037NuOUJBH2RhTXhoWY93AUGi/k72TvOkCDx/H8rl
iROZmzHxXxhuKMiN/CRUlJ7LQLI6iiGj7Sj52xAutHQCIGpBoyuFNs5FZbLyCXwNX93EBcfm2Fy6
yVpYiETQo3hqaJkDFikSqHz8ZlmMwiBxoEf6kzUcmsZhZImqanzkZFZ8LfBRVbvWCYwbo6gi2mQN
hEqXYO/HpHDZKuw+Jr8YGCphsMjF2v/D3nlkN5JsaXovPfc6rsWgJ66gCOpgkJz4Celaa99Nr6U3
1p8js7uCIA/RUePKly8DDAIwN2127y/QQQWYKRCEIF3jSEOZGQ7C1vlDjWKj6lhxLnOPCpWu9dAp
U14mlJ0BqNULiqum2bbzRiEkchyhZpCmbElCQXzsGxxugzp9mSsRs+wKKWt84sM19RItQ/rSghZF
QrIeYQgrWkrFiGwSfxwrAnrOqMnSbWCNqul3S2CZbh1F2iu6L824UUjCpMcmbvU7JbA4TCYJwLZC
y/Vr9lnxZiZn+LiY2E3XHMNtsjig8wIrQURHLHuaPk8DLkOka1GiWvfOn7mOHzFbndg8Wl0Y/cL0
SHws1AylyCJGjIxlWx1+sjWbxNHqxbhrK4LazhT16o8M+c3IKZkhP8aKczww0lit7MHABPcYGmN8
j0Btz0m4j4ne5dwMNwJiyRGel+gD74hPYfpbGUSMY3Q2Ja+oxBH7W13rScuEy2IephnSpW+SbYtY
swUDJc0yFm+QmoRkWayQAn2wFtXVwnjisKGOzKm6QUDQjkFVfu06rtK2hCCv4tZI8ZIgl5TXtleL
2lFLUYBSMwzhSwz3xqD3xLpFSLyemj1Z8h4ET2mwGKGm+GqpgSagPwn/01ZnEy55i2JJc5jihHs0
ytJWxJGmJl+KuxdqjuOkzBwSTGsZaXI0OQfMyKFAOqpI9pgbaLtKChKGw/i9Xsp5g4YDqoOtorKx
LBGTi+hsoRwmov/C3lrYwnFSXoj+xvqE2L1kDHQvRMbkoBZ51LP8L/IVSrKBtMlkTTkIvYGWRakk
4rfMBK5C0rsdwEjFWG/vUhrtX3L4f8fQ/oyhaQhqfBZDu/3W/O//9SZ69s8n/o2eqTpYbwWZHVGT
ZABtCiGyf6NnwMdXqiT2Qoqo6ytZ9v9Fz+T/4EJIEA5WHuptqrnKrPxf9Lj1HyYxGglahMafOHb8
TfDsjNqAxwmHVnk1g5R15HGMM57PgE5luKbNgZcBkpo7MBfoKXXeHy1y+w8S/U//2TM20T+lKEQR
VcihSA6eBejKoK3QWs5bGwVKywt6QbObYspeQ/AVLh41wgUhs/e1goRF65kihED4ZjTsnwHBTOKK
aU1mY/eNhWCtOU4oRAyS/XmtPioFM11Y71BV6KazWkm9GSeNyP7KBU7+iihEvuNss7ifl/K+7TQR
phyejCaaBegGvK1Lg6RQ1Bkcl6dUjQwnskCnoZemafigWjP65hLJ08fPy1x7/Q8+Af0FvHblfomY
JKEky+j7s/2sQqkxwJ4bsIGFvBeFGi8IYDFQl0z9QvU+KAqqCyQJpsYqknNG9CF5LZZAwyiK85bN
GrX4FcrCpGzz7AK/5oOW1OFjYPNKM9JtZ6NCq/TCFIocTG3cJjssL/StriXdFRJ01s3YlMY/VJv/
X6rU2opvyjtrxbkDpKkPlNcUEmCAXAoqwUsGPb5QzkdNyPkAZU2Z6qGf8ba3AIUtc1xqNeoZdTQ4
GPEms9vF/fKKdnh9obCPGvGk4ynCp0D+56wwi+AeV7WZLXuWU7cfGvk60hFA0FRzBmny98a8NCJr
Id5SzDNs/NZJ+Edsf1B7sKgxoDYp6wHiWYnsxR1XjBCO7N/PZx35ShyYyCegUPauqFjAgleiqAhL
XLUJND9uu/DCgF8b6GxuvSll7c0/K7QYVdMCWuROUd5EkRFuzHSun+D1qVdrvPIJPNLzX0/nN0Wu
ffpHkZKgaakwcWieCam7nZzp122yYEqDkvXj50WtbfSudjhem7DkVmu1s+lMpjRqFgE8VAXX4zYt
K+CHJoaA/4VSGOxMZjDX8APfVijQArWOLCIfZYvpjzKVuh8Ppb75vJSPhjqgRzbmdbfFhPRtKTiL
ASqudeIrDVpvjol95D7T8+B3XrXRo8V61V2YXB/NZJqO5RAjNf2dX2Ui4AcX6/AdyfnrG5zRX0hp
f8cfyvA+r9pH3YRKmIhYgw4R6pwwBjMWzzYi9dhrwYgY89Z0QW51FybUuewGKyB4oVUmjiQgG8m5
EE0kmHGfaQXhZKVREKJRRkcjLO2R/wk5ypeKjWvRJsDiC7GdDucbburkz0X1knvc+/pCl8b/XJYh
WK4L89uu5EonDsPALiPBLtGBhmMRtIuUPr8khSOti/rbCbBqOHPWQdJU0yCVvS1pakMzkrA3tknt
pXsR5pZf15XyWA7NMdSFad8gluYh5iIBycVRCEUbbv+G00mdtetxQL5wFHq/3KwMRGbk6jArogb0
9nnGmfORMExggESu8UC4rByx+W4MIZ6JoVzBZh30+7bv8kuKIB+WDC2R0yvkWQ4Ub0ueh8pawppV
Z4xgJvZhRoAadhTyTiFxl5cyGS+5Zb7vZer6R4lnE3aWFS7AEnsTiA7TacokdbiLFs7fzh1KoYNp
ON1A5OKsFJNgmsKJEtT0TPRNIIvsDCpkrM9Leb/4UIoO79SECa0jmPm29YoSL+DWQBszDS39nrBj
7SmrUqfYZwDh42bxPy/vo95iyK53Do158k6cMy0XNOrZlvRkVDFcqU3hIAcioDczb4/yMFudC/Wz
vaSyeqlc8209CY5PdV2qtU2wtjkkY1nucNVYjtgVNYcenW0Qxol0Yfn7qHHX0yYe8Rzgsf98W+hU
mXkNC4fGjSXtGS+KqfdkawDXWlgYn0To2H79vHnfr+zWqhYHPx8hAKzVz3asHtuZQmtD0EVBW7h6
XTcuCraDLRRwNT4v6oNZoCGUy+DRUHlFMvFt5chZL+moE5OZR3JJYrpAh4IHdOEw/VEpqyYvV1AT
7Id6vq6Est5OOusHmZwAIFZspDqq9c0y/31faX8WdLZ0FzOJElUGeCwYFcGwlLx3mhh3IPtWAs0l
ddy1cd4u3+u9Gp1YRgfEXumsn5jH8OuihbwtxLt9ZAr5hgy3uC9zzfQqQycXNoLXsvMZtMWFKf/B
VEB/RZVxT9K5kJ97gRvpBLakY/dfhM56yGpNvsH7EOqRrNUkbPUlQZg7uKSG98HIXA132SE4BjBu
5LfDhTuJ3ikSMThNgptXKRYOK1ICLFsEP/n5yPyogqe7MqAbBPjOdRTMqp1bNaw4UEXlcND7ut9B
NNb2sWrJ2y4wcG3K6vavjc/BIK1AJJmDCI4Y57I9AOTkpesoVekJtUKwi83VTrHda6XSX0+rr0dh
Qo2q4W5e6NF3k2TddDnH4R98QiidTUUMOIqqrllRQgCFtiwWik8sZvhrq1o4PwhloN6DwtO7taUJ
yIiMC2N2iTsJxgEYEFKdsEvJChcXBLg+qhGrC8dPcxXePJfMxfIa4Yuqgx6HYQbw715YXgesiy6p
/L8blbTcql5GlxEZ4Ab4dlTGS1KZI5kMRmU6u201qwe48MBBp769sPN9VJTB+AcQfdpoz4rqVrAR
uT6KqgFFE/YQ3GqZsaQU5+3n4/+jxuMsxBSQNM4N53tsnZvASGRQ840qwvcUOOtGY1R7f13Kus0w
vWg8cRWXeHPba0MjsvDtZgnTyL6IersqNUAP+LyUD1qNA/Uaz6MMtI7Olo1ZAq2ftIBt8bLhcMlC
5cGwT+6COlxe/gtFrcuFpbFIEZd6WyFDzutICNPVMLQP/C7FgjAFU+YQErmg3v1BB6HY8Z8lnZ0L
inKuA/KQlW3pwxOkG8WDFFxdGG/rl7zZYsgsEJ6kGECTOEmctZwEySMv0YkCf1eKV3Uy1cgtjOXO
gvG12OU4TZvP209av/FdiaA3UQQFdok279sGXOosyVAdRKoitGhA4GnuVBQpSaIB0kmkBREMkyH0
ACxbG/xx5N/CLOxbraj8SBnT+88f56NGpiNXZxbis0irvH2asMjy3gwYOcCkQW9XAs5oZvHr7wsB
syqvmnpET88bGbNBcJ2VVtpT3Mjk+8cESHKLRdhfaq0SlOWsYKmEjVBDWtVg3tYmUFOU1mcGZ5HA
O0ObVLexW/dRsd8WnTBfmHUftR1y6AweNKqRezpbq/qpRQR4KOGPdlpwSIe53lWsou7fN55JwAPg
DfuWfh7YNjLgeXPIipi0eXNV9lHuTZoS/+0JEkFT8hsI/3LtIJhz1nIQGIQUxZj1nGpE1xn0WEhe
5Pz+ui6UQqySXYvLlLKeSf6IfZnLIHTCOvbTWAE6Mk9wtoPCvLDmvo90rJXBxkQDgozG2Cks8Ecx
gEGBkeQG+qx9EF8Js6n4Up3ty1HDmlocrs1Ru68QgvHqyAgOxLv3ulVVF/aXd+crHgJVYYU0weoD
cH7JWGo0VroQdvGiD7LkdVPUFrdglMXhSutHKAXTaGXxDtg9ANbPm/mDRY1DukmqBX0sjllnmw4W
cBoWqhZu6nmipE4kYmI5VvGVooaqAzCJ/35e4Aczgc2H1WOV96PRz2eCbEw5YD3WtBXKPLYKcOB8
uTQT3u9yEl1KhIwRtCLgz64DxJzDqTHoVj2KQ3irRrmbi8XYkbK9pJj7vgUpykRcDVY38AP1bJdj
rYRBrdGCZaqBrZpL2IrgfCLpiwVs/GeERVdwYZ6vT/92X1gdVbj+omtGivJc3DtKa20KawXt/iIX
XNWqtae6H5fvdW9kriQV8nfCINOhipRymzdy+/p5F74frijJcTBAFw8JLTKQb6dmXtT4twNSt0W0
790M1iE+Va9aQYCqxkXY7tVLp8r3g2YtkUsr2TSirOf3/naMk1iWIIMVgP8AVvT9lqlySXr3g0GD
7S3nSQ5hJ2Wut/XCHsZAHgZSgQAgBIWMdO4cK5CiR0QvleTCPDBP95c/e5HgmklqmTQxBx5UAM+a
URrwE2kVXCLVXM2Ebc9y/QuWjbBihZL2YQLRKtmTJc+WN0/mXF3hF48WBsd7lKHIlJW1uwDHA/PN
/Mkx0k3kK3J/wgDiwADdgCVfOexQn8rSzRiQ79yPJhQ731TaudyuTu74SSZpoOwZ1HO4D8axzXYY
IUmla3RSGG2h9kXadk0m9Zu2tvriNlKzFmJBGqQGpsQI+WBBGzWmO9WB9FKx+aROk2GF4LRjacZg
BFfn1FTH0/se6htUVMNsoXe0gNAy1yzDUIJth4xRcDDHAKdSM0+neWXBJTgPwgf5mRcBrnryaHDW
EeE3LnsV7P/qMjkAn63pTYhvLG2Da7Rphz5Wu6KnEhnD1dCcQDLqbYh/LbqXXA9m4tox8hNl00Ds
G5Jmm7VSOm1AWYchyoRAFZ1GBl9pj33PGQAtRRH+m45yCI+AVtIGe+VJd61RSXKnxA39F4b2AI2W
HHelvuIk56pRLok2rnkdvNtgGfMN6TGZLgQ5gvTJWMY6mH9LHRwhIpDhDwQGEYQarDjc98ZkaJxh
R+xqxXEJUH/pMT5F12kRSlA2TWj6WH3i052Oi657K4A5B2WiIHEoM/dLrx/K2LTlPG9gkNs46wJ2
X04mucvJMFc9meeiVIUoQCggqL86rWOwm6E9YNjBitVBlbQpEgi9LUBfE0jfsK1Xn174g6hoKSf7
XqmURqx8o7AbXC7Q8a4fJ2G+wr6U1mmRsQM7WswgfC2ziL/GNS7B+ah28K+TbJn9+GQkDJ03+NZZ
uQHouYz73E1OtsMRJij7BCj9b6Oemy/z6k8cLcDRIfWutsWgPA2YvKmFohjqJrXXgYz8AXMVHiVh
2exV12Zu7mUhW9dLKpXXaWZGymZulCVHcr3LMweoH9ijjG2fi5xmFvvlZLWMckb00p8MmIceL+bZ
TLLnEcIh0GycmvOTaXN0MnAG6D5xBVhtnWuwbbcqEdbSNaUA42foA8lTWlrG7GYaztAIHgzYmKIX
hHTz6h2tGAqUw3J1lMbqcYaGeTKa7k6m05WFJZdXLgNkDO1kTD3keL7jU4xf9YRo129tGUS0LxB1
uQpO1tZNNCXwKxIDvZdRGfPU1yScsOEoQ55Pu9UgG7h0sYFKU0QPg7RaaBtJK8ewA1drbXK1yu/Y
yglZAdQH2iuUdY/Oh7FKssHRaO+zk1U3lx/5TtfC+musAFO0e7T+Qd5LUl55dQgRwIXpi5qCmAjY
gDNTMgQ1QNVdKatPeNGZWIbHogCsX0gE6TgphfgrXQBk2/XSNM2zjmLj9I2TuJYfoiDpQn/K5Xjc
C3leV1eCllrAmNM4q6+kpNSC21rFV+AqFLvqeVGlOXoKC6tGf6tDMvlBrot88Okh07irgavKWzWo
UpS6xWLU910sNNjMMk80NxP1YDkUgyxPbg0Drd83paWNLj6GOPtC6aB+0EH0UNqx6UzNphGXUPfT
2oiCTS3kAUjIYBTdFMpo4IoKekm+kaGY57QAJMkUgXezvveAfmHSsz8K4TaQUGm4wy9AVvdCwmnd
twIV9sw09cWys9Ccqm6xz87153UgKL9idYAnRL80chLaYjWK013KAbH4CtciTR6KGZTjnh1AJc6v
TkGWPgUhXAwEQywYVINdJ2xuKGhoTThJ26kcqwCRpNFMmt9Bb4ZYUmtqphziCUVCSKdizMpZa2mS
3s6miZx+aQ7peAMoUwn8URYwoBfRKWnAfSpUqpTVDKUUNWwm+dgGTVVAvs3BpqOxU+l3/7j0UlsW
Yg4rsmXXMj7coFajgrNt0pVf1RRtGH9W0nl5SvswrJHSOEHIie0RbIzCtD/qEuzdh4nbhwzev0ll
86pJxUHxMbQyR6dRrby5WcyWxO+Q5sLkVWYc6A7w8aR2eq5Mj6FiTDeiMVYPSoDcGUFT5OftMm/1
H7rUcnIZA40wKl6UGTw5gAQvi7KgaxkiUnBndUYz2xzkoXswA+XiCm3lQXKFSDdzPOAl4TYhtC+A
JOyRDJhjGW7Zau3yNRLIEXrdevXz0iALrzOhTq4jQowiagVl8pwbWYCMN8S2XxOfXhwJgCgRet2K
aB81CFPuIjXgK3UF3xJoyZrj0howwoeZ+7KjGBU5YPbqXnMGYbJu5gQy4K4QJPO+zORQ3KOg1892
L1rzjTagxY+LYsQibVTpYO4hh6EFOLdJ8VMt0gDJwKKofyZzqN6EuLyDs4QPhg31sGiyrY1l/hQV
sl65bVCXz1mT9LWPfmn5UAparNioDGMUm1lhdisZ84TORY/0JjikpcXVIpaCxTESOS8do+vTXwBP
otlJMnMYOdKVne7ELepxr1pWtUCi57C+toIC5oIsxP0E5cYwgLlyIPzCZRd0LEok8gNiEqgLpdFJ
xcUK08xTexnFMCVF/mkwwPkjHF2Hr2CzsXBhUVkO+jJXLyoXHzws8zm0HIwIm5fFlIQn2P1YZ+qL
gtBGoC3dz0HqFMge9fRzrNLoByEQiIUKCqFwRWPVGaNQ+K10Y39LUCP73g2aBqUx1FDFqBb8OGdl
sH5YAmDqDV0Wv6DltnxvxjLdowIpgZ1SzfantUzlD5I/0eios4znC8ceBVV3LUZLELGrGor/ZI0b
cdaMpxhHeMnLegm+0NSWguClcWmi1qiMGYOkA1/qRaYJZF4OFEPYYB+dPMZjqakg/Evte9tpfegX
iYIhetlbBex7ZeTUYvY1FCeZk6/hkt+Kr7Ug0MetasVy5EQI/KGLJ4YpWkTLTHqWCDyaZOxXmWVD
4cJSnIRgNryO4pzBCIpnLUCaddZH6TYiiUEn4kQqlk7SJtVNkASRDD43LQenCwIEhzJsUgwXchoQ
Wd2CuGOricHpRy96+Rt4//wQKuWCTYvRIr+0yLDoNnDilMiWlzh5reFxjq5C/Bx5WtJBvqZB+/ey
PE/h3IZm7idqxkuljqGfFLE+vCqJFD41kAGCrRoio8IECcZD1k/jVz0xrdKxpKy6STPdxMFSTgAH
sJrqna+UrcgdDw6+haFNCxklGnQtBVssIUcXkXfSvKXPq3sN2V47WfTIvMvTEM7nqAtJZ+eTAWET
53j9thdomJ1mhBXR61CxQkeVEuNlCmHpIcMiaNU1vDN5W4ZJru1KJZsCPi6og5sZvQTmnxvXYLO2
sC+0S6xmPtuecAMzK8CWPRrbvYRqpgodSF/VjRBptxUZo3uoJVL4EoW1IblKioYuem85QPfeYt91
dSPWQjcoCuNgZYkBA4LAIpqhYjRlTgKo8VunDsnoD1YjL3bURgsZIKtIf81ajZgUB8XwTplE45sq
SFntATANRlcnMf68dKEKB6XQxM5PojhWuAWk3TXqeOHzKEcWB44lFB/ylPUY2cOZpUrs+kFz6qUo
GWxaUwc2fA7tKZoiA5swJdGuGrNI74oAAKETKUN4vxghp99KqKfDNAQ80JCFSQp6oou+DktloX9S
qohcgiGyQNBGU3w717L8OsV4yyJyBs2qE5WQ5Rs+ZuwUwYBSxbhI6pdGFudX/BZAfqfGoECTsQR4
PwjVZZId9OuaOikjgRR5sMSrydTrKP6BrFsF1oDDaWQX2L5yY1NbdselD5AZgjgY/iwgN8LXiEwZ
tSE6yPJVvUBQLx2yMXNpyfyey3H9I4UdQegee+janyu9bbeWkSGMoptFglxVnyicWJomm310eklT
6O0s3y/iEHJ9mKfe9A2kW3dUq/udyUr9VVpwNpzLBGrS0hnlL7EQl+9ma8AhBranTq4SGTqaPkkV
eiUBaGajDLqBbXxSQ6+NG+tOgr71KHcLiwMnjVh1gU5qj81scgbpEqlxUdcN7sS5RWZPCcp8a3VN
nh0RhQ0ap68G4bpKucWibCXFuzmzzHCbzjr3zmSuOExChBF1B91AaR8oIBbtfFHXoWF2+u0YTcYX
FD8Uw5G7qvg1iMn40Jed9bXqiygiXdMOhwReRYYWkGo8yHE1/dbTpGez7AL9buDsfpzHaRX5k5mu
vSxMkSNyF/oCmwKEWkoy4G5CJLt2YgRVfy1Ru9wPSJS0SPgG81fwtp3iWHI6PGBvM77KuTVOrinG
w85cgsbcswPOps1GJKMowqWx3LRCyba1VAlL0dKlaKyZRQAhX4bd9JgsaVJv0V4mLt1VwFBhqloJ
LNo4Hkw0K/vgOZin+j5Uw0UFjz3Ayp8B5+IitchB4Jh6UyyoF8jImCrE8hvHZKqEjM9k8rMmsl5l
q4ihjkaz0m2nKLaugIJV0fcMbrTuo7W5BgnMrLgHqAzSKG1j6EBE6wq0EFGrHT2zJv7sAbGxtJ6E
PpkPa3ZMMv3D0juIGhRiDngn5Ti+qwMj+MlxOBmPwtL3zXaCZ9VsFEHX6gfO05ZIorNLdB+kqCrD
OReBsyNEGG1hnwjz137sU6IDFjgaSLoRoU9kA6GwSic6K9dxqK3qynKFwA3hlcEG+TU7EWExGuey
lZ0IsmK6kmWXE3E2PZFoCftDqC1O5NpWLwv9AG2JrRRkrNZfySdKLvbkSPUZK1NXPJF2tVKov/Yn
Km+amxZ3GPSTXjhpp4/zGEL7jU8U4MJoOB+i/58/6SeScJ20MyIQJ/KwGKQck+cTqVgF/fg6nqjG
xol23K8MZB3ZwczVTsRk6URStk6E5eREXq5PROY+MYbaQRMh+InCMlTn7B/ac1IEu+VEhrZOxGjp
H5K0hJSYwxVcgdm88qhbuYfoVcZkC9hg2M/hWv9LvY5aaVFMfLYr/cTTFsplTNsviH9B6D7FEP+b
gvKGgkKy/Y/Qqvut+/bvr6+/5b/+5/+4/dUU3/Lv/Y/yLQ/l9LF/eSiyhR4L6T9LNazVP0/iG//l
oajSf6D+ST56NVe1AL4Qmv5XxUX8D/z82L1WWwFMf3n5Jw8FfRcA+4axgsYwHdD/hohyyuL+ZxiT
kDepXYPFRIFvQIbrHJK6hISatEi6O/ivN6Fn7zb2zr/xd7bvH/17/tnZG17ZnueFtrPf7n9v0VOz
f7vb7fb3aN89XEgFS2/j8e+fZ41e/5HRUQGMYjUo3bnP7qO/sT3H214Iv5+SIp9V+SyHkZZITxGL
vHOP26P97Lv+YNs7+2Xj2/e2b9uU6W4d1z047sG/c2zv4F54ghOk/bMnOMtv5EnTqmIi3R39m9ed
/+jTvs43Z7t3Hi6URGKB9vqkqHOLmpb1MBio7JEePlC7tV/X//Hnzat/3Lo3R3t3fD36r8eb2nb9
4/H1lSeyrzY7+353v9ltNhtvs7myr72ts3cOW0bCy9WVs3Vs+8p2rrc8tbulwbauc3dwbMfeevs7
53BwHYbLhUzbpdGxCh/9OTo65HnQ/JPufPfu+ftNaN/Y3su1I9qXmu0EmP+s2c6i++lgkEmghw7u
0XXd4w1T4sisOA1I26/tG/rsO7PCpsGO6294IxPGv7f5qx2/XMcR44npZF/b/IpX62De7TbX/Ll9
oC3dvXN3pN2Yb0d/7X3Xda4d3995vJGf93vHWcegf2SM3Phrg0b2lh7jM/SX79IjB95I6z8fb9ZO
uHH5zB9L2u0/Vf6TQ3ZxAJ2lGM0wKFFhXGeLTx15OntzdHenprCpAk/Fv86FDlBOKb7POkB929OL
MWM7tPb0M815fNg6ayPwwr1xncNud2TQvTJwd/zfZQrvNp5X27z0tzTp0d36r7bvPvsb3391dzc3
dAdr2s19aNtfWeF8WpF+8vZMiGf73tnbp9G02+xudve/dqH963790u+PN6+x/bjY30N7x3Db3d/f
3PPjr1+slL7NJLh+YNLy5932wXvY/qZjt9sH+/F+t5tsO7Q3zJqvV9fXX6/3W+/Lbr/9+XDneBvn
znGPjuc9uPa3q7UHGWcPzBbb2++vWAT2W5rbZd05LUTU/DcL0tFldm23DtXbMWIOzta7ZiSc3vj0
wF+v8/PBPdw9P7vug/PzwjhY8SGfdchZorStkVk31g5hCXmmIRgIzpXDQHW2B57VcS7tBCes9Wcl
rkvbH1tB3pkcudcSb3YMf+f3dhfbdOg60JlxN1SSecWPTBf+Y+/p+fVH98Z/dB9390f3uaTTN/bz
4fs6f3jgm429ebwd1hWeaXrPoHEePGaZV9ne9bfE3jPO9q4r2+4dK+GrZX/xrtd57dpb12MrsPfr
anBhhp2BGN5teefcrkDqiO9Sz6P7+rhbp/7D510H8OJC353teOz7kiBRwoGBc8OCs+4Dh7XtqOW6
ADG0GEiML2YOA+1AUzG8Wbb4kfbgd1vG5NH19rzk3f6O5t/yW/YPXjMTHOaUy37NV/L161v8ks/v
Huk8Fgvm3mlBXEvc+c4rb+ERbIdeWN/OD569Tqct5fJevvF2c8PXMwX4Kqbybuetq+3x+OyyX+0e
bRqKz7AZrSOQlZOH4/N83/plzhUvWCKOPBFTkVMN/frk7de3evsd/X99WrWo9XZTUnm61va9LeN5
XefXNZxn2/DJe+cb38qkc/bX69Rem4mGWj/NwMhZceguh7/+vMvOcvRosIsk6FciF/ZWXMbOwFqx
SpwVebmI2PUUXofLEDj9mA8HIdIGtJ0EoFUTXiSfF/p2lIC7Xgtd6YyA41ZY8tlKn5hI745Yc6DH
Iqd3KZpq3kL24ELVztL0/5ayosPAUQEROytFseqQNB9Vi8xRgrJvCcitLrNGzlQryguFfVAlCWND
Y21MMCvn5wX8UQIDfE5kowo6OkGRB5uS/JT/ecN9UKU3pZwdFhBxkQX6MMKtHZX9fKzMe4CGOF5O
XfB36K219bgrYGF+UnJ8R6bteynSmwCdLdh52mY0kYGu+8W4VKET1uw/1951LIBMQXUSLBrWa9I5
LGbJAOkrKmkJGbkOFLsiI0WOWF6QwzfDAt8PiK9ORCBD8HFBHo6dPMidWyNIhvN5l81Ppkxq3hlT
IYl2s9Jr3+a6R3eiC2JZIY/ek79BlX3oQPdHOopSJuG+DVqHI2IhnaR1yMmJSX6H0JdcOOiNQXYA
06Yiuo5VT+1mSJ+AYKlSFP9aclyL3UsyIQ2TkPLvpRz7wsurJt/OEgriXqOnUHr6AKPQjYWy4NOI
WWW0l2UMkggFMfYmVEV+lmaBjv+IsM9s4w6FK0UHs4nYodA1KGgBz57tTmyLGxHqypPSKnl5jIRl
xoAhWhFnkT4yexQN7SAfIMOokn6V8YI29RCIM9BMhJVVq4CEIjREUO0mXvD4ipU5/xKItUFoWI3Q
mimBBzYe9uYxgAuhyRpPFmrreYiy+qVsDJL2gFdLZPBiBXkzGCCV5Yl4jR2nVBhlJ+mqWrIx7UAj
P03NKMLPB+uaRewRxEaTTCscBIyIYhFRbJutLubkmYNgydMjdizI5hvCPGi+UTcJSvlkje2mFPXf
ul5Jv/Ok1jB/M4zZOq4YZdWbexnYlGBV1nUHiVfZZiVqf3YFLhA8Q1I1N1kVjib6PbmK109YPbSI
6L8YdZ19bwoN9rKBsmPv1g3+WPagi8lxltRM99SoC9svQ15Goa8X6jQ5nTkh3pdMWv276IaB9Epn
4YcnyRjkwG1clocmHSbd6YT1CYq0jK6Q0cI2B2ITRh2NXEev6ISk11JRIm+8lKlauGIo0SxwmzG/
wem3k3zFGrOXvh8Q7koiqz0OJD3QJMOFDruWSrVcrMZMuERtH3pWBnFjm1dD+pUMqBa7CLYD6WlK
srdOhmJWQmAphvBJV1kPeVtWjT+bS1N4DVhxBGgY8L8ATJlHxIZJWM2FOc0ImpOXxl6i69JtG6XT
S90NnWQTZcjx16iAwsAhNX6rKJqTEqrxYbhWtRDJ07SFe+QEUjbczawjPzKJpDZexvHY2Wbc5fck
JJr0cRoYI6CSJuHLBJkO+5RyqN1mMYW7OsRIxxMUtd+nQMIK3xTMag3cd93k1Myiec1lJk9lXCOX
AxRJZi6KCWbqGOQGR4WsSA6nLJwTpwrkDANWQcBDLFJVjLaaBjLvVuqS9g4CsNlDIe6LO9FcLYh0
qRiibYNcTnPVw07JPQSNShF/L0mJ/KZT0ONCcdxCAqY0WrLfslU9BGZufU3EWP4hBZK5gDQmNtkW
TV9cN+NIFLapxwJLKHlaiS5BoXt1avWNH6tCdovUKmkGUSnSeosIlfxal4GZunOdT9H1VCzFVYP1
JPN+6MX7YhFYaskfJQjk6bn2pYNBYLFlZf2AR5tRfGkx2SHkWiNwua0TAbRQbBYN/gj9mo0fWVPw
tlfS7Bqr0WZ0K2R9kLaZ1BgJGyOTicYidYmpSNGEL+QJajRzpRx3kqIpIi9ELVYjsVuC0ALlGn23
6mqa7Ept+hwTwTh4JEuLclie0xNLBdndRox24W/MEROCUEnJRiyJIc0OMypsfb0qwn1Ex/+Wq6A7
BMKsg0oTl+kRyIf+c2r74AlmktXtwhnpAxJVcfhoDQpS3qUIWd4YAXkr4Sz8rPVw+IaUdjazo4vK
gwrFr7aLxop/1KC2QGgrofBFZEp+Q+0yijyN3P8xS/GIwb0jyEkrDhU0HQ0fgC/GZEZ4y2OYhU0f
Pi0gPZL+JWCdIrsXjqSuG2V87PJ+zt1p6ar7CLbA3ZglmFvrakYcuiYxeY2ynoDgNjuIRr64MfHS
y6J6O9VkAHykuQYAZEh5Vn4FnDdyhtoKvrQ4LM2elKTmLzVDCrCKdSmzM+wyE4b8/2HvTHYjx7It
+y81Z4B9A1TVgKR1MskkU+OSfELIO/btvZfdP9VX1I/VomfEg6fny5d4qGkiJhEIl0syM5Ln7rP3
2izxD3nfgcHSQOYfuX54aAHNTS4UbZjU/jaCLgErmVn12QE7eMVVfgKi5bxoOmuIvcS7yMqss5ub
zYYKRTYwrNcGTubC696rS1q0bn/C6Lc8+1CVtleztRfcgW6RI6N3hcsLZfv6zuw027lD8j8v0Gzf
RDaC7GvduQW+3Imc8reiJPaN1Y+wRur3ydmC39wDgq87Cr1mfbZDo9Dsk2PhQo0tHHN+TGszqLs1
GGfKT3QXZJXmO6m3d+HKA0kwwTFS9mEll6228kzuZKFroldDEpsqVx9sze03YUAJpWsHrGfomG75
Af6RQgUrM7JXofOjRbleZ3SOtJSUjGsvvlHjURF9HSgniseiUdxoIFZO0Ujt1xoFrNJLuGqK328S
KddPj7W/plbGS79y43HMk17q9GwpKpdg9cMtA9YaaF/SMeHDpc8doFucXdUj1P/VCkuXj1uUL5Wd
xEvNnSbSEdznuLUbqoomkvgUHplFUu4TL1ePWhbwjCZ2CNu2yVc3OBhGn8+M5ADwdnhahnTflqJq
btJc47agufwK8SrM7NkTC8nkrhXBDy2wZ0UpnJ49g1KdzciTWqvuCiz4ANfwRjEBDw6184vZykNK
VqmK19oZ5h0NDC3v+VqnGi/LyMyHKqybrH4HrNDLWDc092F+MY/CMYV4TMH23htycUVYVGl1OwdG
m2O8MManBZdOsse1Y7wkfJCM/TQV3Uwn1GtAHhzTR2PxSw5mQylgV3tWPLdr9rKkef2CbaS8p5XW
uubW2h34wI6HIMOKGVdtxvOhXK3vJCV5yyUJlquvMfFDCbXoE0nNJH9qxFiqCH+kqzN/81Hpkhws
42JkyeeiE+O6dwetAPm7jBIoJJwACjzUxKKwI48RQaWkD6TW6YWImqKTJT4tgGZxk8MIjpaMvqbQ
L73hbfBKnpnYOfmYeVx8RoTT1rmA+cvn3Sr45NESk1rvydL1F1c5yf28tHzqRL2997rp341Qhr+3
nT89L6zQ/KjTxpQ6r5L9XpTyqb8t/KH6bCu9/KZK9sux5ibtg+4Oixu6PbapaNIDVoETDLbxX2gE
/3CO4VULTBeNnqwhOIXfDvB1Dyuqzry3ICeW11sMQzN0un/xTf7hGLN9ky3f4vCtODD9rrdYuY1v
gqcPj8BgZ/WWc2NhUsDTMOQ8rH+emf69Qfp1g0RCj3fynxdiP+ZbH/ZH8+371od9aQf5/e9WSX/7
+j9XSZb1B+sgl3URBzO67LbsxZ+rJMsHXGbqAbCUv/0fdPG/CgH4KrJnzOKkOkFa/URjiFbJ7H/9
D839IyDQtJUF6OynMOf/txqxf8s1sDS2WGWxPN3CsDRy/SZa0G4hBincz2qr3mq1K8Slmqqo1sB2
5lnh0C10SoDg/OUV+08E6t+lkp/fldeZPRnklmDrCf9VJdSUw7A8u59ndRNk/m097syWRbJbxOv6
9l9/K66BvxPSOBbzaIYmR9kBLcYBB76//2bmqDslgQAeyG27gLLUy1zfUeNdaLsxSLpzP9XOgfRd
3e9oPpVeJISDwy8TM2x/SnGy4D4YOltF1OnmV1ma2stUUD4drSkQQoJf3JI7DCoGzGAns0NMKtUU
iVmWVeRqePzieWBcPphk+YbQW6xK7hytgyCp1iV5lRh10qgc8uBUVFJZocHM9N7W7ahOgCDdN6s1
TTCSDcWbRz812x8tJn4I5cMw+Z/mjPqEiIWRr+MezhnScZg1cWMTCwa12RjPgBxxvMFInKkyM8DI
AVnMNHileHvXCCBWgznUUBwIh8q13zdnBLU6vaPvoDfWsQ9g1N2KY+qLZjZMxaY/LltJV2oBsaLq
AD5dTb3Xzsb2i9yQ0l1yhtrKEK5bhV1AWrUX52YqLeesF7NHJySszI5+ydS85A4aT9gW1oX8MgVN
DM+Pdpe+iVTLetp4CnoSa0CPIrZcLAD4izRaAJah5HAqhiHB+ZVIDgQaoSYa+OaV27qGEjHvDCNJ
h7j2l2XZd/o8iINh875HhhrZyreGoeTj6tfageh+q93bWeV9m3MqCAl1LlLtFXQLKgGgEadnDlZT
crJ6jx5ae/Xbt1b5xfeefOGMW7Ho3J0J3As0TYO5kaaWxsu2NAI1uzTjtXGltADanZMPcTDn2bQ3
raEp76WP8SCCdKHj4kDlUmGWNQWFhf1atAcMk10fe73TFDcafjAqoVeOHT1+5Sxvrv04FQom/ph9
hcMBU6yQese0oLv4NzK3LngJKXs4toPqGdD4iFHtZPM3mrlbYp5aZP0hU3i04SwL70IpePHcVN0U
HHJrMm9g6K685pyiaWww8uIHfk0M/r65NBSpqrRY8bGmkECUl1gnu/eL7aSrCwbFspbPGR05mxgx
qjM1EjLYXjVs65g9tFvpmloRj5QmVNSYrZKCXOjCD70xdR/FUNMYDHMLXtlKR+fHaC3ycVZp+qmd
l+wrFF91K/EN0pfHB20roYMQFKVZ431RzlYOaboIVNgB+QVjo5oyygMH02l3+Mlq/ngQrFZkLOs0
M27hcI8CKU3nMAvIeqEhhumKP0g+VmkOd72sZEe0YC4/9aC5XzVHal/Jt2ky9vtp/jrm1A1CezUf
qtLzJcEwHLAhfigozx4cWj+kB265QXzJtp9lBLqaynTZqLNL4NBDTIlx6GQgV6huI6hKvZbN2ETS
d36jHcB7UNjM5X7VDPMB3oJRoAYosfVEpbRNmq6S39Ugxod1Mg1zD5gl+O7R30HvnWOXT5howdyO
bVm+gAuGND/hbHyfi7rs9ha0LHeH+sPLk+UGPXMVzQcvudlMBZdGgflrrrheMejShraj757y6dGx
lh+0MCf4CXN550iHX8hb1xQLd+pYD3rVTq9NMdeva7VVJ6Zz0qM+ALWn59ck5BkTeqTCAOyj9wVN
MEu24vbpTCteDeC29bpkJ6wiH0447Ubq5Dg9oDdrvq2dcSz3K6KZ92e++t8DzS8DzcbtYbT45wPN
0/chzbu/G2L+/Jq/hhj3j23GhCkA7+jnquHXIca0N89LQEKdOMEvfhgt+IPjJ+MNc4wLttLagKl/
DTGG8Yfj+qaJIL0hBHz9/4fMivDNj7VxMWmmRb80fxtixoIETz+PPDHKmgDUUL7jQHv/5TX5T0aW
f5jmf/sev7kYbBmshQOHBQUXKkW6iGyHVTn5F+M8dJffpxW+D/94/BoeKx3nt70ECAq2H4QRecJW
DS0iHCiJXriN9q1p/fqzGjgghzk0wnce9+5mEJ7EcKhmUy4xAUKjoa+jVtqRFkGU7mIxM/AElC68
mf6wFNTUVOWPIOiNBfh00S+72TX0x6kZLZ/cd195zTuEdz89paRG1jhI+7a/nUos3VETONjuaGLX
euOg5X4Hks7vdbRvYiuvXp9ih8d8yjDFYkgExymjDTfkZ2EyIlXeqyhBhQXF73iUMQ4Z4PqjYdVy
QGX3CrWzrU0gh/9pf+1wuRJq9ZoONztE9mdyH1RvWgObAVCuXmueKRZy6GB2e+ObnhZUPegeXsmB
SrZroSPWbkfbro9qz1BDRK5Ce615aVfwBiugT2y/zXrTuJpklBlrjMlZuQkXShP0x6uWbE8cBNO6
nMa8mN7aYEKj6WGiPtFPXJxMZ5YVDTlrcAeR1e2jyWDJR12sX5/GrpRbWbKwPhldR+RpdXxk9WYU
9DoucMw/XEGOkALXV9QivOVdkLM0mNsPYi7y2Vh8I428Xp+fhNDW6kCeKmOqoA2XEtIFcN8OwC7U
9XrkagiFp2UXh29eRRN09hebfmFSBToFiZTcOAB3l2W6IFum063li9ohA5mrbA8wpvyUE5mkt7Xz
0k9yycG/G8ugGNBq23qd8fOXVAHl5ZNJFu9TQgM1vvUFqH0M/KK9HVP0gxIz7npjyUR77eqg4vM6
C5s+RlsPyAfC+EftkFUBwLBar/a0slgZJnvg8eDUTsYsDj08pp4DALzwrOBJ1Jr6oL7U6yMDERm2
vBrtH+g4SRqhhBC/gSfXaCEeg9QnWSHARwiFbVjKWma3oH/yMNFb0gbGIP3r5PiCaJKRu5fFoxM7
pLU6tc8JzvYSNUv6BUskTX0Fe5z9CTT697Pl12cLAAd2wf/82fKQf6j/+39+PR+Dp92+5C/kt/4H
DktX586N5RJjI7fDv6yW0MBJa9OHgDdzM2FyJ/zrfGz+4RHDx/aMBRNOo8Gp+j+eLPgwgTE7kME4
XLLP+m89WdjS/X4/NmBVYLc0POLwwDl/Oz2KbtACVlncgytmpdNqJ/5lRddp486keSkFZVdG5ezY
L3WQz4iZdsdU7ZReS6h9SdwXadmCVg6yPGB4/F6r9lqpknv6jima0LUp/ZbAZ6jCOqEHIapIrNl7
Ubnmd61x0QlzLoMlsvioahH17eJq+ImbxmODqMtqC08kXRnbBnei/vhHoyOFK0OtzzQg02vZcxPg
Ruo72WNHjwN5GZ/TTYiVcW2PhHe4V5iFL/ujWjhA7xbTJ9WxePoXwylyj86c1r7UpmT4LJOcL/d0
RxMkwAr7Kzui4Jv0vK2P129JFa6Cqis0dbk+64E7kJiuUtM/qpWAJdiwtHmjPsleQkc2bnWTjZ7J
lN+OlbOj4tVdzqZZUcpD5wkZQD0r1xDhOO1j6WTud22dss+j68tkNxs+Ma+JQ0EZGZShyZiV7PC6
+J1KdpY20LO5oprbUYY14sXykubBWlpVHSfHpQrByqm2j8Rkzo9bgacRN8qj2kOfC9+M2CCV3wtp
FU/OBEcgohGwpx1a17xtyi1H4pWBm70O0wguSvgFWnViZ2kRN3xO6SrYEmdhN4/OPcmRkWfXlMhv
VV3kWUhoqiRcvrbzc5bbVGoogwK/EAqASZkneoAf1r1j3RduWtJmzyKOj4tbWiIc5j79xt4TWV7W
1FvFeUN3+J7F/vAmrH7sbl285tlROW0/HGzNDii30zWjIR9kOY8uHAM6nHqXA6PD+vsycBRKL1un
kjj4ia+25bOXHtOUyJRpd9VXnbD9t4k+JZKQm+QbjBrqr7YJwYXmowkPoq1UpBlIxU47p6QRCo4H
jCKIyUYrYMduDUyzWzXsIn/qzhQ/j4eedfSBB7Z17TaBuofp+rJsorX7U78mDVx+XaEtZWE32Cjc
lXjDWoAuoFTnGXtCZcbLgiUhoUAqn56mn1o54aLqluEHBb0ln3ovJoaPR4F2Zh75HHAa9H9q795P
HT4zeYtClQfo87VOnCfUf+r22U8Nv/2p59cMws1GmySd2rCLvW98q1d3Te0sJv1WIiPisZgTcdUs
r7Qz2Nr5OFKK6d359FzTx1PeSOUafKZG5gVPZRlRchobEQu8VHy4Yybvc2so1Y64fn1t2WzzPGQN
d2/bcp4osKZJmdimOZVH4oVEpDVqszhFVR0ldTo9WHhvaDya9hVNXQt9TM0Up3kmxaGcid6xsZwz
nBfSf5+WEs1fTNO7PpTDekcIWh8jtQ7ldR4Muz32XCjcH2qnu+9bTddjWdDvyBbc1j9tEE4ULISo
8UyTIH1HJDasD1czMGAAsp1OAQNUEOaitZ7xBcGLammpelhmgzo1T1W8JbpBEWVkuz3rKm/OrVvH
VITP59nvgf30Qf/KrmNtUTJKVexxjFTsAHoHIbBgdrJCh6XqDx9bBcpSn9LamM2pbe8cTySvuEE4
J1a9x32OznoCQmrwhNqRKlyhePT4ca4lq9Ty1AUUPx9tZ3HudE/0644iT/546/rqk1YumtgtFNvf
2YAinF07NPWdnVdVsWswlLzILl9pDRKlPh9cbSpOKW0rlGmN7I815kdzZ5nV+lZUo/W5Gqp6iZM8
qb5mLEunHcYPZuChy5bbjNHK2tuiN95bTgB9aAal+GTbyuPShY+tR5lJqjgsaHZ8X6o0OQuKlp/1
VCueio3EiAOHXHzotKxWo0ZT9RmSQ0blC9wfpL3Gm68p7V56pApN3SHedN0bHT7ZXetvTTqF3vTF
QdhFn4ZjkQef3YIHwm4NBgJ5hIEJK9uZJY6y6HoPrMA0PzkjFw3SJClzhAKPXj/TWPRHtGlYDoQj
xfCkQEccIO5P7Lsal0sDqxinCkiB/Tfqyra4kj/FwAOy9gG/kF3u6MGzZGyiyVKutFgTAaRa5XeF
XSbqZKqV+Bo/uXyTI2oD14Vnfl7kQLULYWnjWfeT6sFzl2KM9QQJMTTWwbvXjflGa9aFX2RdkG6W
qQaT44w1QkTpZcSaBR6tNwxM/utk1FtdXbMxg/LGC8jes1F8SBUI851tDOqG7hiPxgg6ISEypHZv
ExtcwE64mZz9HTFkgo3jmqSYGxxuH2HdtM47n/+guimmRFyJYrJphVJNl+tIUyKL03kRx6yQcxM5
vdkMB6MXNFmNtmDEJVY+9BEO+ak80IbdxsBI6gGhb+YCAijkfA8qR5i7zp1xHjHZ04zIOnT50DC8
vAOXBEBQFATBib63VbU3VdVWBz+bsjuRKmwwve3Zr1Zb68R7XYd3agF+0TGM0MEUzyj8CKIJqWnT
z5F+PNQcI+ygcZTorVNhHDlYGUacJvW47gZDs2TkI+0RHwuYM1qw2eZWiqv59D5p3SfeRhfOQxkY
rwUlW348DGUeUMmhu99tjx4xKqKePTbnn7n1935c27n6OhCppXrSr8SzPwAmiXrT4vSWrsGkR96y
ojWXyuzP9WoUFu4Ox073VUAYMsqDJHg2Js+ZEc4d8pfk1XU9wry1XqjjbiWQT63/zDMc5go7Zf+a
t+3UU6C3DUIqxcsYw+jKeYYDPnhdJ5t7DbrXotgRjI4kmTXwbFuyedHClhwc9Je2RAG35kp7bxfd
5mSykX1oWW9EH7dTSkF8ILppiam9px5sdOpCxP6clGnoiG4rYRwyKukml9cyKnWneNCDdNinmCGg
Sc/9MO+5XsS04ycvqAZzRm4yY4cqBuomMb6KBAwMj9iSPbit+m1d70n5mmWawHDGfrNqXMrNZkfp
z8LgzBy5+CK6GD4/EFezWhp+nRLvm1JSnmEXqiZ0nFQ/ab6S19pgKR7PhdAf0wzGNCl0kBLxYPSl
CGdbcIuktWa6duxTUatpxvLP7tAFEk9fW3V7xjPmKR8P3Rdn9RhMt82sCdzGpQU0M9tVwk0xxmvT
TxOdUcy1aewlq3tDbpJ4IY3oW6GcPqkEEDrWLjOZ7SAyzAmDH2Bf824FheOEVj52DiuYvJ8x1zbu
hehicwsXmDX0PHfFDfLJ5lcM6EoLa9OoPq8aN1smq2WzVWCtjp2p4uTY1dyR2Een+pdFozMxUsuQ
PmUj9He8C0P3KLBlpbtSw6oSEl8v0UXtat32BIWxJ8gMqToY/dQ7+yyjb/WqojRR9K150AHbQAYq
vQJqhOksJbtyf83D1do+Lrm7ll8tbikfNbx9+2AZutKIjXaTvyP33/AxSeryW1MXDtw/EC0evCXV
30mDaek4rBzHw2HMnB9JwiRKBLnpvB3cYu7j2TqPmIa6zj7MCuZ0lNGZg7/DEBLlXOkMx0UGKLlM
ezgdGovBE2yWCf+iPnOLysze/z7mUul7y6E8LZKzqb/reBYlzdOpDw7Fl9nnzGeDsHcYd6u9oSW1
jHIUc/OQj31KDDpXaPCeWG3IN0MtvmSiMn7gfGDGd+fEZhPGhJkgQ7Mkohs3kTa10hBr0BzGHv79
FHTfSVHnEwAkt+P6H/uaHg5focFZXaO+eCUezVhpeimi1jHqL85gWSA8QFG9YOJLV/6mycPPSSmg
iSRRW/wkygZ0YvDRGyLQ5RWdmnXf3KB4ELEtKs2/uNXEgMJNZOaTAMGPi4uODv5abjnDwUyl54Zt
iyodF7CceCLmvWtdldsuvJmj1PZOopqDLUz9wKgpi7+5fP+tKvymKvzXK/h2+Mjrj99lBb7mT1lh
qwtj30vekrM7YurW8/OnrODaf1Diwd59UxugniJK/6kqOH9spWNY932UJoTp7aj/H6rCH4CVtr+R
EgOE8A2y/L//59+1G4nf/vvXfJbxU/v+NZkDKBSzJC5XiyonRI5NG/91A04ndidcnFZR6eZOFZXS
tF9k2dcr9zh/iKE3gIwWgV58FJ7wfhAYZ2ybx+9uP+/d1jdiCZE7ZKSkTmhcfZbnfdLzCDMTxu1e
N87lAC9DdR16HgPlcMchvrIw4ho2d8Mqv+JiTK6zskct9NdMnhcgU1fFU2fPUTvf1eVifw+AHs6b
2z8/GRyTL7LXXgMvy88TK+onW9SGESoh2o8qzTACq8Ht7hLi9O/UrJcsd53myTXQ2DLoRQnp+lTn
bu40Gndzf/FYNU0lhCW6T28sPVtu5nru361aL+/MzCruh9RL8UbpDptt2kHlrp7rrApVL/K7mrTD
uVY1znNlquDUDYV45WpzbzWZQJyiknUM6W1JvqaT1T73a8VhAtQTqq05QA0O0kyelsHd+MXG6u51
Gfygw3cOS4zcpyoV/Lk0bygST/L1njYxsbewhyI/LqWu0YrlLJ+0VWL1Iqh5QGTMGUcY4VOVVbvc
8WtgfzlkeAB8wFL0lZ2gGHmMpd5G8StUdWi0rvxcu1kPNSA3jkGvveNJEHde3XSg3jvzdrW2dka7
c62TSkrtnah8H4+tHhwAFNJdVY7UAGM9/joh73xy9ana/r5XSnq/14WLwlRmGrQMrdSe8N+Lr5w7
cZjmHcNZkHJ400xmw6INsMm3yknPXVNOjyvD4z4JcpsfOtnDYqpCp9LUAQSedbOl23ddM9g73ccd
weksseNxaPzXQlkqrlvHu2Gyy56tXLo3DSPYXugVte9U4frvq+fSUEFRxu1gSOcgmyy4SbkQd/Oq
gkdqXN0InY1bshakDc8pa+WdL6tyOlD+mB+NbM0P0OjuW63Or04CuR3/av5S5rY8jE1QfzEoAt3P
SeBeKy3bXI1zi30gqWrWtFZzHd0KLmkwVPu+9dPbtKfgekw3aBOHryMcrDeMNwUOgcCfQq2m8nqy
+gpSPOejxp5w2sPaibqyc48tcv97Z7bjlxxeNFJ1Y9/nArsuzz7W3U7FxdsMY/mgsGBggmdxcAZC
McTJKrNDLefhk5V14tHRcTHweGW4oFxWW+4gnrTpLtWE/FFoU9dCEnGFZV7pPk/M7hF+/vgwaRNF
en5NmSy4zOA2Fd38TABiXsNSWVyc3Zq9Tu04fdeltF+qYUnvm5JzBc4K652qUvtFp1z7rLNuOOla
4F9S4VgcLFrAE1BcqoNempvFcoYR6yQOwwtu1Z0+4D/38XW+6aXC7hHMOERt079MnqWd00Gfvs+d
1lwZ5LvDJJAqOsOazzr485j4EMRFjfvJsQVxggV/8T8UJasXiE9q32pLf82myXseewHcTM+X7Cra
rtuh2nzT7RmBpLWz+VmwBboC3aJnvJfNjSgZR2K+Gg9g0mav9qiam2GU80Wbm+qj1fghEPAQkGYh
YjVM+idbIMCtHBXTMJH58tIl7aHMk+Lr0toG8Bd7Ma5W7U4PvbCSOyJdI259zoecB1M9jdnnVU9I
aS7cstmZmLTWglmRiAp+ZP296Vb3Qe9177Wic/GRz5X2At6NMX0w5Zdq8NO9KsfsOaPr8nVgv3Wt
AJV4u0YYzYlj1oLWWA0RdomfZ5PZ2fvAmW4xZrHGMBEH0E+BZuavS+fQySDaY0MyDMZL4J5EWUEJ
nNdyV7mbQJxb1hiytRmO3jhzgE9BUrEICuS9hC34meSVDIOgOQndsg9KFaMZys2kypkRbJSO/DWw
y1ofFJ1rwGBs+GwcVJNTMBvDi6kNXaxsbTkTNcrmsEqkjDd2tBUGHZ3qa1E/+5yWPsk8AWxTmMt6
CwipihxM+XedvRoM7cO4t7PSghtZONFgzzRejUOwo4JJhTXK/t6arfFsd36QEEWZ3qp+Mo6tu+p7
QGnrbS4DeRln/mdOtdm+hUv3jO/WiAJafa/1oMwD718fFbxwl8KqmsuEVou+kyc3Ff6oY5tDMESk
T4sdIGZ5gefb31bF8MSf5fbatWfXryjDwII97vrtLSm9VD9YWWF+s3gi36ye0j6neR78EP3GrjG9
1jmv5BSinCDsLSbqNMwq5Nigre7Hya1+FErmUceR7bldEv11Tbi/JmNxv6TixAhbF8SJPPOhM9ry
A0CTgcebhZ8wWu9UTaY6BmMbEMYYOdKB0z1THycjeovt0MTz+c0wOueh6tPuzpButet6MzsoCqwP
q2fflthzOLmMWdTZ4iPxFvqKPNaxutYA7AxW/OjIWcfc08wIs49xHqrNluuXwV2i5cVp1EcR13O3
bTiX9AtN3OXFx6VBds6ByC+dYQ94pt8DvLPfSl6fbx1JrTt/NNLnDvzthVEgOYFkumo9rnAmhDDR
RrWrKeE9DNAMTxjn3EOe22ZseeuG9mwGrkWecllDTAOND0P4HhJW982pGZq2p4q90g3kazzP3XaP
vwh8aqZZ+8UwVp1DWJXu2bJzkjfm6cS0hXLi4zL3M1lFZh9Aqeo4JUdr1XnHap3zqzWO/RmB0905
o8EGZ5Tl2W+E/7kvJLsYUyRPee4GkdSDNjZGTcSJQW2ZqSxofhn4NnOZynOade9E7vr3TB+Mo/DV
tGumzrlWxrLEZt8WD1OnlttFr+rjoBvZjt9vvQmcXo/ypqL3LCntLYOhj1eWJzpUMqudcAytYxBi
FZve2NA3F7qk073drstNajjliWWreh2Fpj8YS+reY7ibvmhr7caJbdmP6eiOu6n30mh013hJm/pg
QaQ7cGTP7qxy+tQlC4SbcrZvqSghAlUGdncaVGXvjaWmjhZX3QThKMjG59XIrWc19HMR6lnendvM
Rr+CZLawI7pZkDmjzNash8ozpXsLXM06uuYwntgdyzOuT+fnkWtGQ2lmWt8iczVrC4oiG/RkTpoz
2haBws7MAIqtTX9w8UqxNrKN+tpVKw8lbZIVNNfEH25BhWonQLDpTmNa+jqTCCDyg2F+h4yuZMit
2TxZBeW5oVdR/RIuss9uu2DwPkCP5TEMqXXvowt+cURgH4zM/7xwjD+uNJJeKSPvdkyA+cVw5Rfd
VdbRChQT9OyqF7dPaQ0fzPmHLjXuALbT0QlUrUE49Ot4QzF6/SmFGPo6dbV4mTM08KiHjPzB72Hu
eKxCrMRAMz9DXxT72aj7D7Xa7TkHuo3o4tWQGpFYrkCdQaHBrKtec2fIYtKmzas0jWS3TD6PLKCM
CDMDIDaBgW+fIhcdalqtyMD19jb2LwdQlJyAU0i272vZmLgkNM64ajL1DtxhUqk4y3rjk+3T9Ges
4D2JFzVnIjDVLR1cydltuunC8iz5COSiXSVevG+VZpqnXJUT4k2jzaHTd0mM88S8DWp/nGCZJUXL
PMSqr6YA8IYBBFyZYWhIBqpRF39FpVOr2XxtMjnEXqf3O+wA4qFOBnuvTRVxwKE3glvaNloCs9a4
3pZmp+KVZf0LvSDZcZ1y66uLxrt3tEUCoWVTuS9JAITIw/qhMBTdrpkEUY1SdrQV1xR0wPzHkmjm
s2UNb0FSnbWusS7B9DwS4mGllJt8BotdYA5nPjnrmX/RTxwe8jpkCWPuUhD7MVKmlaN0k9YbS2F9
mSZUfNwIXft5aQbuZgMoVAOs7WVIV+uhBAe+b8dSOzpZUj+Zhan/MDm7XMhDuNeOuftEMtHgCW0T
20jb177y7xhw9kVVwBhU/RrcK9NMbtdC1EdgXtaBq6PZwUtEUUNivQGUqL5UoOkPM1nX12Sq030J
XXifLzxFMFsgchIXq08VQP0l3lyoIbXvnAeamVxMkKjlChTUOkjuLogk5bDvAAqfxLosT4tXkW+0
uPIeNDmJHy1a0dnKVXEcRQJq1bF2el58Mll0ZHBAXdKMMtNvtmet6sTLEiQPid88tJwXd4StHhNF
RM4x68elsSgHC4Cse08kUGPHTx6rXPvuetqTqUhyesmlKjU3Knsky7G1BgiO3uTuYZ5q3Cl7dowT
Oq2eW8593ctxDQWL1FM3V+pcF80Qd0AVoyBQ7qVvUXKM0kqetcwQZ2ucaJQd6/Kmc+r08NOCmrMC
PoxTEjy2cvOVlL51QLUNXoCpkyFmUdrP03yTJrp/SYAwnpS33BZ1N7MKxe5zsb3BuUlYnp5Tp9ix
l+xO8DhbRkEj/ZGajcMVaTpM1BbY5M0/pNtl1K0jLqqFxzQPe5fHBYvZrrhm9TfIqqiJg3IuEgsU
Tcw9mlKMgu7gESK1F8umf5z0MrixUz3Y2bjRHwk++1BlFcfDIbHss0dq5GrUbn/I/HXWSc4sIzep
Jdf/H3vnkRy5kqXrFeEatAPTAEILMhhUyQmMTGZCK4dwALt5e3g76I29L/J2varqQZv1vM1qkHWT
IjICcJzzyxdkTVYTcgdMryJKW/BskWcIRL34rXZn/dHS89wKE5SnybodYxJp8VNttVnSLGwt8Q2A
TGRcfTY9i/cRLyo7ML1OHzc6JOS1SMzfWXZ3DiCeSK5+6rifVSHpri6n7qgvo7FJE9FcF4BmsfGc
xYaTKQomTWf2X5c2QeDuV2pgjaraC2jnEkDh1K8+Oh83gCzSfgMgI5sweeJuWqVbWzWMxaPTEWdc
Kosxy3VSZ83UYx/jsdVOCNTMcOhUvMP9R9w8Kq0EJhglfNKJmZzYtAogWL1dhZIsZVPPqs0QacYp
nbPlOjm5dtIJ4V8P1Wxska1javMgGHiIxXOegwxP+Ul0LhmB46LWFMWNemCnmncQuSFOWeQZrLSy
OiVKq8i5j4x4jzRrfi7FOBNCEGdusLhWf+38knshgl/aTrRh21wemlgDJ6gH3VLuupFJussIwStX
QAD8DkWqLCfL2KzxysVrBQVlI5KTdbt266wJs27h+ldEJuO0n6Ywj220BrKYdgNa/VWhVYbc+OAE
q6gd3ZjAeETEJnZguqpGZ/lFzG62k61ZPCad2/PKHZ7+k6xPmeVmK1vq2rPZptW2StPuy40j61g0
Nhz+WM+vTFbeYUSZcewKEe9HPGo36S/Vfh7sbos5HvcAGNwZgWLypZqJj8TpTXBeLW6BA+pOlOR9
ssv3pQX3VZtIDDOeCziDe+8WgQWtLKiWW2oU5Zb4bus2lCT/l7aHI9Hr8/LIhl/t21nzt7XTcxay
KFdEbI7ZhgWh2yOo+N3qS85R17FZ4bNnr3V2A1kLz5WAZTQRYrxFeqM/2prQfyshzQO57+XajS0N
fAIZ/C5LJFn1OjEfVl822DyFufeTsvwdJb1/bSLFgWN7xrsWJRF0J0msATZUYlwdrfZ/z31aYbsv
6zyYtUWD84wJhK7Jhn9chKM/kJAJc4TNRZ6W2iofK7ubHlwXId6+pJDwh1bY+r7qyXNfNexU+7LN
xVNG2vZT3E7TDd/IsHMyxzhzQ8ijJDf15A+ZE3J7IqZkXAsSZYxvsXl/cEb6cuqSsv/W6zH5qOx2
PtbeVG0y1ehsZta4I8Hf2Os6S7aH4vBbRz/+KIem/KKLtDzUU6pv8jLuORPHaC9SBUi16PMBTaG1
n92s3BWQ208T3S7LKhsSsUPhMJwLj4FyhVC8/WU2qt10coQrtEc72dVWD59fti1Iy8IF6QeuqPE6
eFVzohCv+iAOtrzpRSefc9PpnqKi9tdmakFc9nN2dibbOk+aGG/Um6r3udPNq57YCcU0bnLVPGkd
BzNvQIrqu0NGWf67pWlhi102cAfsxLMXe/uhzIqzZ5TDznJH/VCkuc07RpAyI2z0BOPPWg1REBDf
CW8qJwG73BMGwLqJlZKY7molNZMXgm1/KyJoMMzEuvbTWcz4BHXdWojpq5c0advtYpKuQq+B8Y3V
YsTGXhc7J22MrZMjVHUjNzuZ3NOYcOeOmFRTA53U1F0qSuXnI1inCEmtrLc61OWG6Mqt04J+9C9p
pPk3V7XuEyxw9Mxiqm/mqSYeexYiKKqhXA/QGbclrrUVk6paJ9A6m2owxosbD78z0KZbKyw7wiuh
JecioZRsGRPjXfbC5PmHurSs8n490fWyjs3MDd0+jsCx7YUGtRFGBpZdEAqtxWQsRLI8IirVt8mU
Z+9RlFWolFS592EWV25pTit/8gQIlbrNfawHvdUn/BQYqlWBdOhIBOnwiHcqOQ8pD8Dyjg8OJPk+
YEI3Xj2rGx8SZRXvfjwhi/UKczd1vfcAUphaO5rDZmfFEi33cSxpZQFIUYGh53ZOMQBR8ES93uej
uBkpeimre/g8Q/O002zGU0czpNgR0UHOKHP88N7ZhHSverqdR86Vqcw2DTqnx6hJkL+4k2O4W6ZV
pmS4B6BAvTR/CFLa3I2seuxWLXnbamXXcpf5wFU6l/Zaoc1134c8MqgAKRVOakIWaVrpEuSyq79j
YquEKpTMAJODAkmPPGmnZ6/vAMXyepgJ6NdlchUGoBmxLfwEWPHJPHu9DUOrxWM97rqlSi0WAplY
oWzyKqyJmPhaTJI8AqlZ7YWRQTvauElJyJDwY3wl6CORF9DO1TBMXwTpexcZufw6T/XtzUpYu8E0
k8XbmWQ28vFL9Opw0EMaGDxLmUeLVIfBXKZlZ6kFICB2JgvEasSW7eXemntK/Yod0Lv7aMF576Xo
jGqUQ4cxclngyZeFAVc2sKU2GN75D5Q5MgSEqovQIaSGv/NzaorhxwtvzR5XhbbXJm/cSvwTCS4+
9No0rQXKkydGEPATsyfJfOw69OaD/xhTPXbg3B2euoUdUHOmYG695oL/x1jXjlY8V4OVnePBeii8
6QqDimA5x87O7gm6odeOpMKlZjarkvyEojA+IUmrjm6kfZSdz6aoGayfuGQ4KWPXSVYRsbBfUjSI
ZVpXuzqd0Yep6757yamy3RciULjs67T6lRLHs9VMBPOD7YtdNRfkT3uj89Z5SMMgjUW5wXQTbQRx
EWz0jRFMXnQbLBb02OKB6eT0SPE2LTuPVOgV0fvlx9iNxalsRxGacmkDX/kxgTlRt6HbLmefwazo
Sd8P0zhShyYb0Z6mKKlDh6HvIIo5+xQSKFoyqH0ajpzeS8NKX5ep7KlEGJM3nJdRtKZkiTNgQNxQ
4YXGjQWjldAuZdylGL3V1JeYa+6MQT+9Rq5fnjl+8otPu4G5WiInTTYt6tCblhTTo4y7bkuBWrMC
IaEhnruFG2ea42957ycj+7spnuYFnJ9Bz31YGosLC/SsZufppDP9Xfb6v7zsv/Cy93wpcqz+O733
U119/8f/rdJ/42b///f9g531/xLCcgVOafYP/ghx+w921v0L7TZ67384jfir/6RnNfEXFmUTq7Lw
aXzWYWP/hZ+1/uLv7opwIBOBCtn4H/Gz8MH/LvuG60VE7roeJiX+Z/3Xvjevh9ZaLDMP+1Z9M8TW
+yXu5RrEAdfDKCYDGYcWLzt3aY42ue7rcqRXCwf4QFCTb/zInXI8YeHFVluIaQwWO6H+qUqcgy67
Yium9hs113C3tO79Yiq3OT0hBVFUx6TJyu0cDZ/OQooc4pJevDYdkoRyfHRdkuTLbAsjy8own1o1
r7tJ/e4s/01fDLFqI/Otm7OT0yQ/aUsfPG2dgEDYdbMbeudqFcNaJl7gDSjLlouhzPfUS9dOm2/b
3DssXvOzn60DRQbnpG1WaDfXxJM8mtMUgUOIDDUUeR0LqCs9Ggfkr6G0v5BxgLUYoQNdSu6NWvVN
t82Wat0bmPayaJ+aSEp7yPdPdEojsirmZvis7dD+NOPlNeukAIAy3zXTMfZtv7wtellsUtmCXI3b
sa7pvInH0BttuRdzlW/HeF7rnThNiTw4Q3KbWuuxpORrLgvzJjQMwa6YkT5lgcWgwUqyT9WZoRQF
30hO0sWxhw3Clr00yxCKPGzcl7lEmDOno3ZCDxm2dr3th10tjKDKK1Dh6AeVpgHymdBtRnabYXwp
FWEkWSSxXVkkNRkUmvCQHkG3geovTduAX7ktsOPgx/uq4hLIXy3H+UENBlaixbj6PIw/gJLuJQIz
SmfnhEeFKHnfyFBOJepnqpzPxKSOo42dT+NeEzk5kwk1wjTRklyF6cUh+r4v1AZ5QPU01+mTG28c
d59RuISQrwasYA1ZJaUrTw1DxBNpQNZzm0bmo0nnyltMGd7OJ1ODyKeZHTAmsl6wB6OEM1ZcltGP
xoiOkVvY+xHI68hx/9Lo6t1qPXUh6j/de4TMHfSqz8KuaJ8RIgXeyFfDFHchTE2+GaacMdJ64Mjd
SSgnFvSTqSaAgKiLIUai4pL30PpGlu3zdOzWdmN8LH31Gy6Rp3TFAG7O+Qums0sdpUiyPTaDDYtS
/eyZUxDp06sSkDSIm8pN7XtjkDNDFii0NqbW2Od4FsTblCvyOs+9l2JHJz9KOTIwFOj3qETAuEIy
X7Mdejs0Bm/XKQbyJBwsxUBYdv0jqR2/alW81R6iUpuWOpCq/jJTU9E001bXxo2wfiKIJDEBLkrv
SNSqu61UJJG4yt4hRLs58J04oeRTBZIT978WNf6Q2KEJ2kn3Tddu8cQTrUSDdzBQO1R/Ygx71dM+
/l7c2L0kNkpHumS8c4yd3+IfYMF/LEU27NhI6pqUJ7rhnOnbQWwamRRsmO96U94mnzeG0X4wKan3
oze+AWyUjs5yafsVTQns76Ulg4yZNucCGJ3oGbaQWnsUZUuzixr/TBUflnttCOiYWpvjfqF8VnG5
rCq4UMLyvhYvvyknpYMA2Vck/Xe3pDMnXenOtdU9tV1qWoVN3WQQvEeR+YM4z9oUYzsY8sBJymbj
AsvsEDqUT+XifnCQsniBRkQfeTxsktwN4sLYR9FPWknoh+k7ljPq3qJi7fTNxp7izdIhAqSOC5vA
zoKswOmfh1Uf71X0YKj3TG7InjM2etGcwNkKurn8b+bakGEmKtSpT8FR8HqAX0JpOF+lVl1Q5m0H
WWxTENiyi7Z6Nmy0ZNiqVj90Rrv16ymcaFpM44ditEN22mtK0kWQ1+qgs+qChC+3emzP1fTZivxU
zuPF8Ov3qTBB95aDSBnls/xYoU8Jogz7P81qxUo4JE+Y6ROix7t7Wut2pZsKKs7YiRJVsFq72Osx
8lcGUlvRPnhNdSsz/4DzLWwBFu6VnWPfPtYd059lDuu8ELtMJK+RmpmK5owBEnGyTNw9NNeLGXs3
ch6C3Hebs09eXlDhOwjiqnYDB7KSrZQrthQq2yWiuPal+yhLfdt2/Uuc5tmDVdgn9LoQeG/UbwSG
1n3Gk9q2znIB3H+OazpEeKdXtjM9CyCBlTt2TzpKPXQ349fQYcqP/d8TJEOZL5fCzp5QHLRBRJVK
6PfC2Gbawbi/ggKtOroZHADS3GaFhdyoS1E4JBdlULdhik4PJoJ23ISEJR0zKzkJoVE1z6OjmC5R
S5TbqBmPTmxxwY1fy9z2Z+bYR2xC5BlyQ2zMyn7D9LgjSuvFM4z63rmBT0mHX8uvTp9ureGNZmQV
DCgu95aUj/M87CUIRwS4PE6/fEXsV+mxtqTZqS89zgAkk+go72VgBzfhbkReeKTq+wH4NUAKmZEk
qQAggAcaL7kOHboEe2mC1NR/VR29dE7rnJEKOTtjdp4TzChD7jwQvzqsRJ3BDkO4G7o6wNoeet+P
AvKdgsZsjn0bvS5ZAnkn9jVccEveaFQ5GC3EbvZt+kTonTwmOqez1qTTySO+E9DSfrciiEpP9vix
2GkoeOM+XTY4ZNcFiXWRTJ6yRbXwnLhQYuoLa9yduj59mXH3OlbR4xzlHzlXszX+8v00AJvPwniY
z2Z3FzSnzUVXtPz0WYR/RqKBn4Vt7PiHlbhc/JSvSH51pvpRiEVeiGQRWxwCB882Vh6WoD0Qsf86
eOYemfAzooR0I4DLz6WpiWCs74V9qL+Lterla0NR1sQYCo9qnim32age85lJX8/WrlpxNJJ439QQ
i7IZ3lofKRu9N0DYSSn8p6yOzohWnE3b8CZOuedtuNz19Sh4hNT2T+4W+tiL4uKU/QV2yd1Hgo+R
JL/Q8rxuj7HBfyOw4LND7lopdFjwGJT3WrdyyM+669efNLp6Z0djFcJcvZ0sPZS6NRIEiYMn5Uxz
cb2sEmvQ8TR45UkJTwvYPn8PrF1loVdrT8KHaLN11Jb8pqeQs3M0PZhVS9ae3eym4p586pGJiZ+H
YtzhGU/SWapIyGoT9+Nw0fs4O44ZjaS6DdFGOJq31u8LsjI0gFi8kFRczoZ1SKeXWMzRA9r4z1Qb
IGcNwt90pycyFeUffAdBkbZLuXqcRogMMdZtyJBFvJa39x8pPcDXuTrUuEAhcyZYypjv0LPo/r50
RJ5aPn+S2MIV9W3P+UAkpI4ieZNTmnft2pHSHIqv3u2Zb/vzxbWH1Ieg5eqAFt/bev7gn1h1AQvi
rLF+5B4bf4ccef3HsJfnPoqNeD2RY0bFFSMX7yI6p1jyu++/FvSRHxLxLlDAyHdKFte5i6wQoPuX
wtdFDdv9pykKYp5bPJoDVGYqzmOatgGnyBUsjcaX8hDTyUMGX3MZZn/Xs6ZGqLJI0lzThpOFWmYd
LQvjCDy1e7DMeEa+AG5bpjAShiEfpVa+AGO/wnC3XCoZETZgOAj+CtwES/2hm/VaQ6ZY1RAc9RyT
Jlw/6a21R7Ovh7pM1cYzCspHB3nT3PzB05oDHtptY98f9TCWIbaKS+Nnm8WWCBXRyy34KMFgfnSq
edJsZ8QLYqgjQQopOXHtvKvu/ZdZbd4W27oWSDzWQptumZ5dRNI8eGV8Lbr8RIvOFFJXHB2dqVuY
gnygQcI7f+qlGHbsbB8oWkXoV5l/hJOmf/TeMCjc6Bd0Lr2U2XQWhj+vnbgcboSpjRuyhNW2HJN6
rxsZ1rWlKG8UBH1xJQHIiZwEOJU64UBdHhNV3J9r0xgobJpx4TRyp/vOpvKnNmwpdebcjZkM6Jpe
IanlaiEzFOAy3Zr3yJo4OhD9l4YgzmI9tU4fOuloniZdc0gCRVPi9OiBvA+R2V8ZKQgBKUYk9wz1
N8rZ8hudqkPWURddfIi4K36f5eJRDh6UfsQn4Vi7HPFu0BlJA0E+B9yAhPU5EbVXyvYvhQO4lANy
B5yO6qFxqyxQZUoHWkxl8YpcKj9EuCJOd+iuiA17lyZz9miMhthoxMZu/r5l27l4ykueORikYLx7
r9jGdc9/c7nJY0rGdnIYuD2s5n6/S67lpminN83xmbupcAKvdTsr7BbuXTuzowfCrUAMveX+7dTx
nREJemdzQWOzjop7AmbnIB20R1k81SUKvD8nBGnC9/tV6/b5ovhtXZGAvPkWL2YovTUiPtBwyg2n
ZxurXx4g7UOraEycLcoyf3ia4iZftGXXyQ55o5rtl7z1QStzEq2OYrLtF5osm8OE221XjYXOe4sa
cLT4iRa6kkNfJ8mTKmZK7ghQunVC0BunM2qjqlNj9EBpFjrBTt1BxxZAkOtUvisdKfH276MsVwCb
dsdpFecWjXH6wiRiWQCWf46rWAy8K3+/RJCMZg17Jd/zOu33mS/j75gqvV0+Y3VEr8PlphcLqsrO
vEccdrVuvwyi15qwTAfvs844w4Bz7Rc95ZxdxcguSUAlD9ba/H0YNt30hWjHotXVL7a5mWAv9mrE
kbpuN3icYuBe9/6nKB2j7Z+D0ZZ3DLgY7xixavj6v79LbzlhazTi6Z2dJvmInnBUmzkqytjhx+Tu
HYdGqZLwz2WVklzyfDbVrSrTmnG81n+Mnl9vVWNosIMTpH/S07rIRkBv9IYgiSpQbWmZYM74IVfj
PQtrIynUDtHoq2bXdfl45Dl9L08fLBPmpra3oqrvuat1I9jpObuoXvMe3cTgYZyUibae8D4nQcb7
dLSUD61pkRF7biJio520B1rGJEJmHEDlDsoxMVaCvJKgXHL9Y8GEcphHS1vj8BwO+mJNqPzESAUt
TerX2kbFQGmtX7w7zeIAJrNZYa7Ua/WOlFp7FQkGKTmnGud6re5L/SLEXlpa+jBkeg0P21r9jw5r
io23qZ8OprAWwS2dVTvs4WJ48pEbzttSae5zq9ddGPNlodHjyyQO2SKtyZrVF9mf/mEwa5gjT/0A
0Fge03FUYdexEwQFH80baiK8O1kmnlRi6lmwLEmylXUW76OYEJSVn+rWsUcweW7KTJCqnZmGs/as
IVoJD8kdBqRG2/nCy06QjpJWvNbUIAxtDAStLZ1tOQzF6zj7RmA6yXA2OjjbOImjLbGoTR/azUC3
aF0gdiPskucPyoCVUQzODpPN9GKQvvO1ZDHzN65L/+CJFC97D4o+rth/EnODS7k7GErSZozcANbW
bF5HfSBdrzIn4C+CToMszuIqRBWDPFEC55I0ph0G4tMcPhMVXxZnWQ41yNMBHYP3yDU3n+cJrN9g
58eDjKuQcHVTr+g073SAjzTVXweSacj2HwZ1qHCy22v656OrTfb+Ph5HUKv6rgh0ymIcqUX122+X
WLKzGOmsFoPVdEzSRnY2qhw7NdlkFQ5/MI9sXc+W9sL/jX8ikbLecSdJ0tKwkX57bgf1bQnHe8sL
333m8nTPBMdhUSQpDiGWJq4lDomD0o35NlAOem9AHZu9pZLmLTLpo9OS0f++g5Ngg63lItAsjAR5
KzawwFmi5IvaSdYN/P2tja64aJ4b1EnyQOKAdh68tHRXqdF1X9FU5ae5MBiMARTWGnLrr9Hik1xm
lZ4L1Mvepo0hHr9GO2J74DQLrEWaezoExGaZXH/jUdV3xqIrfok/vbcEHq38meCcpVIjiORAW4Ct
e4j3HdvZdVPsIzvEN6UvdnaA8WaF9PQILk/B25sN1d8rRN76I/HTJeZZgvt3rAbQvEhjL8CCxLfx
zVaanpwi/hz5WScuLhcqJ+oxWvX+li5NtCYLYrITXrU7dUJVo5VaDEI0CAeGZ6RHqsJk4OiG9hgV
bERL46ljZzCC60avroZp0jCgKw+e/M2BbnvnrZdBJeviXLoC8/ASa3nIKa+tB68QhxQMaodM8svU
mHWaHkfpZIzlXpUmsgTqMK/KTu12hXitD3mINacowSInFZLNRFA2WThVt3HKaLotlPGyj0fTkfyn
8qUzkLoarT48KYLJVyjCwAzLGYNr7UcgBDEGdmQO44lkjDkg9fFLoft4JDqdaDcnYhAZF6u4pInN
ItCZmkfAEoEW+VDhU5Ay1sOEA5R2V1CE3pwjnlAmMfS50hC7atVaJ49x15qqe3BUWoaLqJbvFq5n
Z+APOTiObaKMHLSwM33tnNJK/duMFaaWsppqbpBGvbUK2fAdlHYbZBmleQc9G2uOPz075u2cOLMk
iqgHB/WLtYryUu7pXx6PyEb7HQdCjwAsGqzjuPhpszXRoCA3YDv9KDpRlIEwMWaPqiqbLYqs5Iuc
7/RomxmCxSq585lWA8BDIaVIQwz746+lX5IHx/JFFeRRlv+5Eu3pwFli7aZpsp98lHIfNCnM/kpY
jU8uX+w/a56OwkT6U32qvNLDtdj73j4fbMoDqqJyXrte2L9YE810T1nBsG1Mq15P6CMP9FLUtJFm
oz1tJH4vkDKz0X8NfsJqzOk815ue0xZyv/WmD4jt/LMW6q7BLnmDJCUbGvGq2nhDbDydx9YxD0ta
ay9jDaUwEIfwZONfB1UqXfCdfMqiy9hH7QUVS7xGUzvi1WhRaOH76oq1SbwhJfJYEz7mZFQ/Yqq6
b/gxgOq5D284nXj84Ui3XhNnrollnnQnnGUxArj5PjkkcSSSTem3AyLg1FtPRGzIwCp4BeA2qfXY
FUPvMXDO9UeUO0QcYhiPzzE9y9fa7UkqzwxvYKdHQnxS3uI9j9B+H9a9haFAiRWahmge/KJLdlVb
3KiNNo5VQhF66ivyHBxvIPbBas1NYxYtXe90weI+m2IzGJy+fVbgbWEqk5EqWGynm2SgkBTHRDTv
ZKHH5JfhgX2YLDVdM41M5pWWT/GtTqL8OZr78XviXC6BFacMYfHsxykPDw30bYH3fucg4YUsPE2Q
RBHls6ljJLowzXU5kveRT1+EnxUgaQMx09Pi63t3Qdo6Z02y1vyaFunENXH4tEOjfzOIy53dNu2m
KVLbW8M2Qf53qP6ucYeYaKWMyHzFTpGcSUrVwgnm9mD4jb5Lu3GvDw7O/6KZqi0uXXvDRWYc7JxE
UECQWD5OhsNGJ/v40WBTSoEMKps70BlwI5nOnpHbMgmOo7M+1DywGpvg0g3wvfwaEEmjIo28X0md
5E0wz53zAGDCs3OUqXFh+ZXAmqOHlDIdXJiAKgMlDijdSI8T0pgtlqtirU9J6DoIO+y58Y94y038
6XSgP+ECQrba2LRQrKR0wjLL1DpPau2ptol7QDSkBwvhLUeHhM6VKq2wL+Nnzq9rryGA0Fww9NRZ
Dm6uWeGc0WNEXmn8XXbFy2zOYQLFfoZsaMOcjpXzYEvrh4LM2JYFso2BfuFV0jpPqkv2WtOufeKC
DgSzrnwePJqZXNEhbUptCSuZ/lSTcY7r5AEQBMwnj9ZweutS5vsoJb0kcu23pEaKo2Oh70D08B1v
qF7/0UTiKJsWBz13LLFmmRdUyXyHtxBG4mvZ+1mHHYaUWmnmyzZ39HSdVfW8hJLkHkmx7ubehXFx
+npe+5WP2dDu0zeC49oPozHNjUK/ce7oQMKNj40GB4+0d4vmZigojFH/jfevuXDVckrZInpFOLi8
mDg8D4NW9UhcEzFcpTVWNy/ujXVb6WjUForSa3t5RnV5FDAaAXQUa5ih6+ulUPaRkuB3ZNVlQDXQ
RIjMQEpvs2Qmi2CWn9nnmVsRw+3jUpc8WCjISCyBoDxT7rXXSRSmbWM8pGhnQ59UnX6bINp80mpj
+Ib+rcHS4UmmRMltbZseTANBOqyD1hHtyHxurLi7kCqDMtX2RnGTozsc80QsTJpErApkRpuuNZEx
MHMGLjmmB4IWiu1sN+nGtxf3SzMQsZG4VZCHhMLWp9zkIBPk3lqn+8y/uftm2Ym5JpZ42RdV4m5o
KSCbDs1wee2czLjYjTasDRPHWal8bzfPbv+iRZO1GTTL+4nxtD+X7ew/ELOYA8nkybNgu/ulTxYw
aJer7lzQr7DubZUdHK92TsrIkNiD7E3b4i7S0Q36bihBZm2eZ0lpOjEv6yyBcpKZnv+wYCU2cRHF
j2jpgQXvPV5GGuePY42HFfOr9ghfZq3RPPnXjGaVxxx+FOLEanZFpLk0D91hEbfPD1Fq/6hJt8Zh
OhCtNankVxZL72HGc/tEgBgXUtFo5oo8Ceuz9XjnJquJ9rWCwSknXd4oD9FQweS8oBplvkEp+Nlr
SERJFoHfnvPspCV/QCgbgT1l1nYYRRB/te5THATpdpfKKxPSwp4X+qYyvDzkdmA1wB5HpCtunn2i
z8uGWAUks3kbc6DcyYDIHMNiwWJKVsnylZGesc8IpDr7YFs76pO0I7VLydp0K31NzoE6Iu9Qe+jP
jpohptfSspddj8/ig+LwmmNMVk8L6SaroZknzAWZfPYJwdng/tyyomdHLIcefJRvbaFvBq5dWrqY
P0djvWgD7wgeJEEeuIkh/EAAZXnFKtVvYtR9L7NciNcnhXBTFXZ8mkqXNDM/QVE38iTcm+XkE0EZ
W/HbNGfezdVQwaycIa03tRDZQ9wk6SUrbIWF0FfmvopULf/OEv1fScq/SVJsnaa4/06S8vhJWP9/
/J9/DQvwrf/8rn+kEHpEDTqer1uE7dvGv8YFOPZfFCyTVYv2RPwJDPinIMU0SbglE4DgWxg9k5z+
fwpSTPcvQSDtP5Nxxf9EkOJY/zWG0NUNFql7c7TpuWQU/JcYQnpGEgNieAh5erBMOaodcYIaFdek
Kc0aFber7W0KZaZVW1cU9Ew9zPtKkDL+aaNGNQPuWMQkBeQ/fylUAzpgpjLiwa1DxHtlh2elyrV4
70bmoIN31q1xV5j2dkBX+fzTo8UsClBmyB/SHGrS7lPiSALlDNAqM7b9B0eLjWOsOmhdAj6AyDsd
acQ6VnT6kBTaLfgifdFdrdQ0JfbbjlgNcs71iXOHeZOJQbfffLfMy1BPQYCi0n1f9J4nWFcb0S5z
pfvdm1NzlXTCfM4OSeDBjEyVFyFT3oMsLpolyNFXEDXaL4AUeEIRqnkaJTWjg/7clYi0GRMluz1N
tTYFY2UB2jDJEUVAfdf/Ba62pJ9z0thAZ1GEPC9JyHzbDirrSVYpF//T69Gcr8wyIUS0KCYGzQHj
KhMxYjk06tq8Awtl5PXiQuUhr7V7r6qyVzCWvtgThJjfIlitZ1AkMuHJoDGJHrNrbL60oIWtTG1S
IOJOfNVJ770T08SA6wM8skY1fOoU4/nGGhq/P+pklZxjlYrXRRgLgTlEOzx0BY+UoG0q9SHsZnm1
S+hxUIYB2yHWso/Kr9undJypUFsQXNiBgVa9R4zt5A6WYAjsZ831km9+o0MmkJU6LxgCVboZo2X0
QtrKjHnTYqHMOFOt9Ov/sXdmS3Ejax5/FUdfjwjty0WfiFOlqsIYMJvbhhtFGWjt+663mZjrfop+
sfmlMD5U4cbdjWPmTMTUlQ1FppRKZeb3ff/FmobyPscIi6w+koaNyqHCSS130CJEvoEgwI1U8UCp
lyzLVKHITlmLvHKM3hWJgV/IcOv12zBymqMYhbxra9Sjd+UwetvKC3KgAx6abeskt5oLE0W2LbIt
w3UAcF0S6kPdaViM6WmkCwerAOckNNityYsIe0VxtPU0oEtTlvec/BXb+syxGPJnTgHSc+OxTCQm
n20fy3IaA0lQpuk9kU17Wiqm+im1c/MGRRDSg2bfVsdypkEH1cmkjmGCNNRUZ2AMix6nNoT0yLSo
rPrniokGGkrCqYgGw8a4NHU7DKmFOd2a2il0eFnP6zWEHecCMeUKLHI9nCtIKG2I6tItmynqiqxW
GWZHHF8R+e2D3N6QT+4uoLTXVAxtub6p5b4yV/k0QPyXQPDSp0X8R6o8Gj2IoUp10lNrurVLu/aQ
fGNUGxBJ+ipRoE2tJ59K+wLirZ6tknyaOBHoeWxvWiOVA/SfukmlNh8aF/hotTcIDqrGUi56DYE+
j3QKdLcYVVRbE2j7Ppabu4zCZ7YmQCFDCzVKp47ux3DzSG8R+7dT3G04nQdIMI+jdjxYeXYexdCA
l7XneXdtMBE0YOOhb0FJMR1LxMwUBARJg4J1QJep6lsbnnhBNXWhY1o3uCQKmUpVRIJ3gVYVnIZY
cmSf423pm0sHfP81BIv6Rrcl4lGcnj5jc2KYi5aIBSm+kUQJLD5cO1YoSJtwxsPaukx1VP+WdFC9
i5QGpT9SNRWHw6Yl32OXXAgaqkAd6lgzrqMw74Aw9DxGoebYrInmdBVxa1ktD02rV+BZGQBS5KkZ
EdvnwPxLaiRkwHQ5NlYoTVQnHnZdIdjrKfkI9RuDTFCB9a+Vn1BEJzPZk9CFcuDmUVOGqxJ1g9Tt
Cim4tRGilNc6WSlIreUQ3yOvINVLNRngBBRWPFouXm+wUwcBInTkqrQWSLvoF15pg58zkEG7G1rP
uezUBJkqVMSbCy9NJ53VTHUQbUnFnIC6OWDIhSzaW+4V4yapDlnwCkDTFDZDGSWECfbzxwFRE8J/
g2wWkspBQm1PGaJPRZ8iAqi3QLnIkgGXQQcQXQpoTR/yyETqIY5heS/lti8v7VwmRvRHozNXPsdg
aM+DTB0acTRRzAiSonLhOwAa9ysdazAwpOB864jSIwiDWf4ildGt8EHBf4acQznJzEtkarTAdClq
JjomBnYlrWSLNXqRwvBuUMNqio81fMUUSHQjVF1jcMmrXOLNZjnu9CMQaHK68UeNuZ1E6akzcLB0
fSrq1xEgPG0dtpZESQiPrHJDfoQMNPib6C5MSvOGk7WNv11LNRi0hKNLQNQGNT6KIJF9cAxJ1t9N
Uz458I1HU3MV0mAqtDJkJqjujkHDybgKk7e1XQH3q0No+sQrrf7B5zBLviMrwvYtCnL9dBg3OP8J
BkLlkp4zYzcveLWXNSZUJKwbSwbUg+RD7pK7LQ/9AgTqW7mPS3Ji1G/jTaBroXSYkzHsUZlArvSS
bAXMFhanfqHJutG/R2gnVmAm5+mN14Hkd8cmR7gEIw0/WsthTX0GHox5qJo6WRV5dEiHwLmaAMwq
tWcd1ZlC3KFPrVltxlyLLtpCg/baAUyKFqM8IZOWJSoYngkZYnsV9RaBTajnHYaAdWniDNJUSbny
m3CoV5XTV9lbPEbVdi2bCrRrRYKAwuOKOpjozZAgLBMYNRK7WsP3AzNM0ZWfClAUtpYHK43MDRan
rTZeWmDe2iM7j9t2E2IcelUBivMO0zgDCjeUkXw1ZL1yr5PE26JCTl06z3zyCp4e9LhlkjwFQNnI
yeceV7wrjwTcnRT4DkWlkUI/Rc7e6pcIvpfv8rDUrquERAbys45+XYYDifSqUZxNyWEB2dc4ytJD
8kHeRRPnRUcWRK19NzHiaNUrU6nA8o5hGMTkhJGNGjJbRF9ojAD5s6yzGttbmPGF5h0h56plrlAv
VRdhSQ1jqaFk90EmXYYSiYScBzy1zFwmiGhXS68a8rMs0m009fsYOJJCaRzWMlool+xkHOaaWrXO
As8woLHbHicqIj9o4YUl51dDlCCla/umki/UGrsaZHIacIKhJpeDq6KBu8lwoQNhlNaaucJu1Xqf
BF73Sc9a/1JHuyU9LqXBuvO0GORfrVZMlFw3JIniQQyLKqjQaWfq9K28CuTO/hDh88ZyIE2CghiM
+XWHcC1Qmyhjux8ndm8qznKprKw41MKNFVro6GoxmjW2hxoVojGTyQKDGDRUdaiJPSHk2KDzijwD
pBKHlBrnxCnFUq4DBhKZfXxp1kAWN1TDqDkYkCZ7N5KRtCYZSVgINW2YICD3Kst90tY+2VQ2ChMe
cZB+UEoHsjOp7CQ8Gpp0VL7jGyHkwp5aP+MYwdYo3MKQKOOfwOafyokRjBomgkbI5sIgQ2SL3Eet
ZnDSJaX/G12ZmqIT9KqGDhZ/tyuDdAyneCdy+0lr3hdBni7zzlau9VjrHsTudnTTnuqkiavevSsk
13VTFmwAIil9L+iRpzIcC/Rn3KKf8o1TJ79WmpmtnkSDZw/NPe1ENLLfianosmyyram6uXc/tabE
jd6i/1lgFf0B6weAK5IeHNtSVp/IQZGcIFlTmYuXe/3WrT3tde/WoEsBBghm84NuOkTcs9nkdace
/sVeUKszDEUI2OPoTYy7+6y8LqAMj7mtK/e14SrIq26UHOrry70oxLm7Qzh3AyGDONhWCep2u8ma
kI0XjATZ++KwcSjPwPWTVrkcYbdm1vJpqbfpOigtWHWDN6zRpwMnA9767OUL2Tezw0eA2/3Xdey9
BTqIIXT0VIpBVZWif2pVG0sTq7VFppm9c5VDsKbe2yNd1sv+dybSs0dK7yYgJaChlm5Tod0dBXPS
rBHWR+i2AB9XjYbhtDrU+XcG+9mbvteLeBa324sQNbWff1L+o8rDPKQIEbq2D8DBKE2oEH7brXPS
ee7Lw7lPguHNw18QJqSpWRrEG2PvjnLP8oJw1HHIBlnpoaLFTsBGWsXqUZhr5U0bGJPyNs8z+Ybc
3eD2DQp5VpKnyibuFf2kiDzdWqiI1yEEEsWHCszW+xZq2E2Rx4REEkd0w2W7gHDXskV9Z6V69kBY
CXmtKYLgcSj8iXaHKuo6NJojVipVRcrHsEOq4CEeDi+P0jd7QW3SNCzGCUzkbi/U/yjd2yy9ha7y
etlauoYDYHxnvXj22LkXsTipHGoNSzHFVTx57D51tBHWBRDCDi3BIMCcLiTHfDhAgHj38g09XxCF
DKbGqyxbMsG4SEU96YqgigU5DGMXkLd/O8VteoU6cLkuI9gmaPxKqPZREHy5U/Es9ldhCx9K8mjw
wVixdjs1hjGMS3INVKza8AyFboIaCy1akKwqUF2kcBeYKWiH8FK97ctdP3+AmHvYIBEMVSWY358m
w1QXEmRQVi/THFyzVePjGG0I92/0Aj0N+g5PjwBz7wajlnMWHEbXUrtuDdcxXisimHy5l+dLscIK
xJSHsYYyOqKlu93klpxmRK2R6+WcZN2yz32LMxT60Is2UfVmoeWhdoz8M9LTdSVnvIkAJCnkRTEF
HYTXy+9ckdg+9x8st62Ru2RVRBJ394I6RG3KEjwIihalvvE5u55nBsQxbAZMlJrazvnOnvd8+sLm
kx0FaVVVRrZ3b9GipKJLHXwFkbtH0q5Bn8u1pNwGEWoRn0eFfQzQEy2al0f++QtKt6SPLXrFd1ve
e0EbydBkBb0T1yfLBLssmqgkthn+3uzO5ncm07yj7o2qynKgqmItwEN2bxdwEJ9GxLOM3NwS4jbh
gDBYUkuXpSFbOHtSSCLlpmBlVefqcKLIk3PKzM8lF+nqaNNUeGiQq/I28xj8f8Vhp+JgiiXqyeRw
t832yxdOt+n9zz8t77fVfsHhyx99KTho1gGZAdW2VXYoHeogJ5lH2yPlQEeyWH4oRGB9xER7ZMBi
e8Q+Q/ZfvOSY9TL1HwWKLRyDqU9QIBBWfQbL6F+pN2jwZXdfW4dzjAE7l1lhmbI2m+o+2QTwP++a
KkTBy2w6CQxnS5SPXy3+7+NsBU/kE2wgPQJD90N1+DzLBujCQL6jMlotqtlX3kBW4ZMmzObHqK09
d8px34AhaI13vty1vasPZpe4HPNNIBtClNNXLC9ewI/Qf21Yrs9HEoTJuwF1CLRKesxyXCgF3gdP
y6cedV0JLIhGUucMLXBI9cGkgkBtG7T78IzvMfUMwlw9xagmufZIs1emacPv0VtBZ+17jBN6MwNE
WE1j96EzLclYKfoYn01Rz3FGJvI7woxVzwmrkoxwdtQ0yyXGzI8qpRaYrKIPb4Y+SktXM9PkRJJN
2AzYgZADhG+HrUPbyc07SjGJhg9cA+QEeUPk9s2hVtFoGrzmQhZGp2pZythyUDSuUNrHChVZ5fqs
GAqiXqszqHaTb/Njlyyvf6LNbqpF7SA1a5Zd+07RvMRYy8J6tfdtFGZ7r4+hxGfgQmAoIJFVKzL5
uhoJd/MoRd4J+Xlh6zpxlu2XhWGAzTGRaTlCqcx2NmBUoisUdqzToEOalVKxnW4BsCGLObLIlS4H
w/66xyWVLACqXfFhKCxn1bEHMaM1VumtfUJHdOcVL7gtccTDq1YKYNJmZAswsdUwPekQSddLxLzI
bmtbEgjJJyrADsRMfUhQWg1LP1lEQMehZ6pao2lLkyTWddtO6imOoxZZJVUHocIFwZeMsSK13pEp
9Yxjz+ixoFhaZp9SWgpxuzksaxgr5QLkUo3kj0O+jhw8uvHo+hYRKDdIhWuSzEA6cvTxjQ0g1vpj
3GAWvzLASazMIWz9la4Ulu4mioMwiJallYGHBmJNqDgUXexqpZlBtUGmZjyLKJgj6BEqDSw+Xaja
26qqXmtxMWbsEE4BDqAHlXYK1KbqcQ72I5vUI25gKI6UuB52GOcKgU4PFRZguOph0fSDfqRgEZ2c
YRuU9Fe8XPkvJDGp4xQS9qunnd8g8T2BkFyScUGuzOrlc6nG8t51VE/ZkGaHYRh0RjtuoA9Uyi9Z
aE04SQUxOqiF3AETiaq2Py9VXbtBl0oOXUoZkQOYzh6ST9UEb2ITz1YxIzRppCRmCxlYy/YNQmBU
PUAEF9EmlzGTWgTCe8bKu6z4hJJpe+L7CeY0iZ6O56NsY1kTOBAqlzj+4WQDtgNgci8MbnBHIDFX
S2N0CaajuipNFZAREJdrX9XQwPW6DqyxpgvjHEV46PhprpQLrS6VawXwnArvoxyPWbgAVUJqwobH
eXDkyWDRhMKnJ5K08VOl0t9qmH18cuoSqDH10VupscZhU8+mP6nw/8nBj5BB7ZzkhLMT7hdg3qTj
akRmCzXArv0Fl5kMyulQFhMkitw4IaNm5oeRLayHyCxr8jklfiSM2smgkCBVAd5DcWlhW4TiIslN
NN28jyiBwBLKS2FyJJspJiS6jPcRZqNwJc3ZEikFD6gw34VVkjLbJoVSV37sZzMl8idkEpmn2jFQ
ApBTE548I1Xf0cC2YxCWTLqkSu8BFkPtDAhbruzZvknGo+kt9SxMnXS5ABLiAyt0jdn2CYsfLKBi
4QZVz8ZQoBwwiUr7tnhfpMI6qp9tpLzMj8+d2VyKt40CUFz3/XUn3Kd8z7iuFM0HQT3M5lRB0NSb
QnhWwTHCvmqcraziSvLR/5ktrjyUFpMl/GtSdtFsg4XMLZZYmt5gj4UKl/YeMUfYJYPwz8J/Ay2U
kuDrfVqN1TaYrbY0I/drcnI4cFFpYlZlwpfLwqAr4ghkncTEq4ck2CPpnTWbeVXj0F56DhvfcZ7X
zq9ZAo52QVIjvIrGGk4YmBdcWbO4TqBMMK38tT+UMCuNDhP0RZWSE9uwHyABA6aKygKCPO2FwL7F
a+za4LpkJDtJv08WNYohrVEPCEZ8fFy0tKQU3TvUbSlH1FB26m6ivN56KN14YU0MlgXILiRtkdN4
LGPaqpYGHEivDG6LBl1Ht1cB1CymtoXnYgNuwsm0oKa7tPHs6JfAYqk+/9896305oIqD2IpkUzOe
t/fVeHFft0nz1ZdB/PYMgZzmCrPVv/OlR4OHbzf05QR4NRacALeoM2ZuWHNEum2eIk846onIb8cw
c76o+YpfaiPZcs3tHY0j9YobBelQWYBP5s9PbxIqDo+/1+0DNiUScYQc8+fhtPpklP5oHF6+xYcB
ffk7O7dwm7foGfAg/DDPng6DgLf8mTHYa+DJGCjygTZ/ZJp6evOGdkD4x4dj6/x56Op//uZfmAO2
ynH7z9z/XhtP7l/VDjjkEzjY9sNt0uLTYdDNA5BCyNcQHM4fEi70+O80DEL+57XDoMkHpDpI3HN7
T2/fUA4IopBCxsnl33MWkCp0/uRb8MezQHEOHAWApSzqF+KzPwu0AwexK77zv7wS7N3C/bwAv737
+ScV95uHqflQFfq6uP6lBVE9cGTxIijql9m+Oxt07YCkmKURzj58/sKC+CfemK9bzBLFo7t5cwnv
62/tQX/0hcc19fnvv6ynYqiehPTz98RW89D1w3CK//9jZ6Dn1/3JLx9f/6d//uX+nvf8zWt6/OFh
eF9tq9tgnO92/HKVD+mPf95W908Xe/ySHv/7zd3x60L4YqPJ1s+39WNDYjxIQzNz/nV7z7bdP9dw
up3ybK9l5A5e3/JiG+zqoD2kY197wev7O8Y+efOt44WjiJ31tT2s6uL336qwyd9cbuEMPDb4MOa6
cMh+bQ+bPPz9P3cfpqra7AavbfhEgH2D3/9r56LRFvoRF32yZUQg1mJo9eaOsWmTx+udFzLZEC5j
r7+Br508NvbQOqeZxx/8/bcILPRuYlI1FJEgf+1VC4z177993j62NF8yifAf8H6e3VfZNv3c3u4+
UhDZP2C0L0Ie5f2boy2ymdVuBw/70msHRnSwYUrSCVPmNK+anaWR3U+lUPBje9mfmA/nrNf2IZaC
7ZslQVQVZrsP+iGmeXUHvLVvzrb4iz0OyDyLnPmw/OrG7ys/LHbGnrOhyHq/tuWr/JaRAXX72JS4
ag1bvx+wmv0z3Ra776s4Nf6A9/WER1i/2bCPhLvX/XAofe2YnIXb9vffdgaEhrXHH/z99evij40f
5xPla1p+Ubj0la2/yEF5ZdsvVZtebPpbJ7+vEeLz8+Bj9P+tP9s964pv3CYUwf7x3wAAAP//</cx:binary>
              </cx:geoCache>
            </cx:geography>
          </cx:layoutPr>
        </cx:series>
      </cx:plotAreaRegion>
    </cx:plotArea>
  </cx:chart>
  <cx:spPr>
    <a:solidFill>
      <a:schemeClr val="bg1">
        <a:lumMod val="95000"/>
      </a:schemeClr>
    </a:solidFill>
    <a:ln>
      <a:solidFill>
        <a:srgbClr val="BFBFBF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size">
        <cx:f>_xlchart.v1.6</cx:f>
      </cx:numDim>
    </cx:data>
  </cx:chartData>
  <cx:chart>
    <cx:title pos="t" align="ctr" overlay="0">
      <cx:tx>
        <cx:txData>
          <cx:v>Modelos mais visitados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Modelos mais visitados</a:t>
          </a:r>
        </a:p>
      </cx:txPr>
    </cx:title>
    <cx:plotArea>
      <cx:plotAreaRegion>
        <cx:series layoutId="treemap" uniqueId="{76A043A7-9260-43BB-811B-8BFAD97092A5}">
          <cx:tx>
            <cx:txData>
              <cx:f>_xlchart.v1.5</cx:f>
              <cx:v>visitas (#)</cx:v>
            </cx:txData>
          </cx:tx>
          <cx:dataLabels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_xlchart.v5.8</cx:f>
        <cx:nf>_xlchart.v5.7</cx:nf>
      </cx:strDim>
      <cx:numDim type="colorVal">
        <cx:f>_xlchart.v5.10</cx:f>
        <cx:nf>_xlchart.v5.9</cx:nf>
      </cx:numDim>
    </cx:data>
  </cx:chartData>
  <cx:chart>
    <cx:title pos="t" align="ctr" overlay="0">
      <cx:tx>
        <cx:txData>
          <cx:v>Estados que mais venderam no mês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Estados que mais venderam no mês</a:t>
          </a:r>
        </a:p>
      </cx:txPr>
    </cx:title>
    <cx:plotArea>
      <cx:plotAreaRegion>
        <cx:series layoutId="regionMap" uniqueId="{DCE831D7-597F-458F-BC43-5AE6192D2378}">
          <cx:tx>
            <cx:txData>
              <cx:f>_xlchart.v5.9</cx:f>
              <cx:v>vendas (#)</cx:v>
            </cx:txData>
          </cx:tx>
          <cx:spPr>
            <a:ln>
              <a:solidFill>
                <a:srgbClr val="A6A6A6"/>
              </a:solidFill>
            </a:ln>
          </cx:spPr>
          <cx:dataLabels>
            <cx:visibility seriesName="0" categoryName="0" value="1"/>
          </cx:dataLabels>
          <cx:dataId val="0"/>
          <cx:layoutPr>
            <cx:geography cultureLanguage="pt-BR" cultureRegion="BR" attribution="Da plataforma Bing">
              <cx:geoCache provider="{E9337A44-BEBE-4D9F-B70C-5C5E7DAFC167}">
                <cx:binary>3HrZjt04su2vGH6+cpGixKHRfR4oaQ85ZzqdHl6EdDpNTSRFUdT0O+dT7o/d2OWqatvlquoGGhc4
ZwOGUwMZJGNasUJ/f1r+9tQ9Pw4vFt0Z/7en5R8vq3Hs//bTT/6petaP/pWunwbr7efx1ZPVP9nP
n+un558+DY9zbdRPMcLJT0/V4zA+Ly//6+8wm3q2F/bpcaytuQ3Pw3r37EM3+j959sNHL55sMONp
uIKZ/vFSDo++7l6+ePyka5PXfhzqpxH/4+VlbR79i/3z8Fj7ly+ezViP6/3aP//j5Tdvvnzx0/di
frekFx2segyfYGyExSuBOU1ge+jnH375orNG/fo8Ia8ESSm8Q748J78Kv3rUMMG/uqyfF/X46dPw
7D3s7ef/vx/9zUbg4f7lHx1O7W325dgye9qGvPt53z99q5b/+vt3N+Akvrvzlea+P7a/evRHa/tm
F6C41//3v+2Lm8fQ2V9P7j+gtpi8SgkRVHD+Y7XRVzTmnHIkvvz4r8K/qO1fW9SPlfb12G82C3u9
+d+hskczPr7IHsfHAbzu15P7T6iNvUqF4OBt8N/Pv++8jb9KE8xjlP7Y217/ywv7A9V9N/579WX/
K9R3V9sX++HRfHp+8cm+eB0gmv7H4iVBrxARaSzAob6Okyl+FWMqCDz84pDxr0K/ONy/taYfK+8H
U3ynv7vX/yP197VyvsmG/3YyQ6/Izz8Ep/+Ndsir+Ge1MPpD7fyadP94JT9Wya/jvln1P3P4/6Q0
dbIucJizR/NcD//RVBW/EuiUpnD845hHXmFBGRFfNITQdwjjX1/Yj3X0/fjvfebs/7PP/DEC+Q2o
5ZB5ip8R3lcg5M+f/rx3gKTfDf2zwPfF2I+f/vEyZhxDPPsNOZ4m+WXkP6PX743jq6HPj34ENJmg
V4KiOGaCUoJ4KpKXL+bnL4+SV5wLEiPCSEpSnNKXL4wdxgqGxegVoxBVAc0kNCFpmr584W348oy8
IjSlhDMSCwyJk/4Gv29styprfjuYX65fmKBvbG1G/4+XIL//8tZpsTRFgjHCAc4ysLOYpbDr/unx
DhA+vIz/zxr6qWEudZlofVq4atpyXtINkOhvh/MDKbDcb6SkLKYMoxgTguNTQv9WCh3ruKy6ZMsi
MpIdTnAlNR7qvFLrlv+5qO83BKJYDGhBMMw4S2L2raiOx3SJJ7VlZXDVuRXG7DpLOvnnUk6zfH1s
JylJjBPQELgq/L6VkuC11czjNRtVtV4PS8zOhqnzGVpjfd30Wr/hcYwBHP6bpygYTZhIAA4lYALf
CrXrQAbfJ0tmo7EvJjwMckpGfYvHqDv+uagYqpzvNwi4DMcUgbAYf28X/UaHTbBozZiZjMjqtvNv
0nRrtUzXwPlFySb2Gbe9f2e4JpXkqZ8vV836WbK69ZFUW6NvumYtH9LRjFZa0bJWbgO3Pneaxrer
r7Apgmd9KslQ91z2iC9f6povZc0PDA+DE323DwKVHMWc4UQQ+PftmSU2aszI2JLNMwqlnPC20ncV
sWR8M6hW3WE+eSUrn7q7tp1tcoE1aeo9Tael2SUNnR6Htt+elBeK52413eU2lkudNz2hw18Y1ckL
vjUqQEtgU4ngFGw3/U6/UWh1jXC/ZI3a2jPaklhGs9HvPanTWM79xM/WPi6lqael+HN9/95BCSga
JYk4+SgnABe+DgORc9G84nnJhpF/cNuk34w4oOvWhpD925JiFKeUJpxwRPl3m1Q+1WMt4i0zS0Nb
WSFS5nZtxl5uyfr857J+HwtIwmKIcDROGMUIfbsrxdCibb+BES9rV4zD8glhpyD//ZlX4tMs36lN
QJCOMeennE1Pq/gqhKp2daTZwpSVUVXKZeKjbLQislOrPqvDZgvWlV0Roya5FIR3z6le8V9EPfz7
gATFL9ASFKIf5I0TGv96Ees2zcq6ccpG3kez1Bsqz9PIhd22sXanS9rkulS0CHgmso4jc5a0qNJy
ThbygVScZmjw9uC40eeVVZGTYzmkFyM2vP8LM/+BVk4xM2U85eCb/BR6vjovnVaa2K4MGXBPQS5r
AuvTjBz+XC0/ksIQhqxLuEgoO1n8V1LUPMWmWpspW6pmlL1tcJbaFf3Fuf8+vCSQv3mKWUzShODv
9tKupGWjIHNWz7257BKP8zoanJx953IdlnL357siP3vit9aWJBCUGU0xPiGL7/wHLYK1yTKgrHW9
0hkRbetkQp1/IKuxddFgH1MZ225gGVlGd1+Fzk0ySQmEvzYI/pZU1RKKJtDqI/VNJfI5OPR+iwwq
5boty5y1uAkPEAmiu3ERw9s49A0McD4cWhGS5zVMHZW6NULvSr11XooViyFjCR1mCQnM27wUqLtp
w1Kn0hnfv4/syqtsnSZ/D+lxqTLUW/TWTd3cyo5P9esIdfzOWMpdxqoxHHU5J5UMtlzvWCd4nw8u
0PvFIzdmdVetQVZdE8VShzHZ600lRPppGvv9pOe5zRAvRZAem+l9bJDQslk7c46aHrJN3bJ0zZ2L
wbSrBUrbjKS8fzeM3j+YWvs6S5pg1tzTMWn282y2S7LOvpU9gdfczPQqeaTnRMblos5D2nSRbKrN
h7diXZErKIua99TYCWe9S5cH0ak0zk3Nk7tuZfhz0pNS5UIH5PNhFNuD6oZZZ9PWpSpfqVmHM2US
9BpHNe6LLapcmfWAJ2IZh3nC0sxuUhLVmt+20zxtcIIqfBpask1yERqzPGwTvjJVMygpqn5871jf
j7LlURjOBzpFfjeQUNkLpdYhgVA8ouZocU9tyJJEd/UbWzoUyYoS0mRhNM7BYCL20aZWJA1Jt0Y2
JSY2Q8Tgs9FsaJNrz5bjaLqZSoSH9VIkM0p25chKldUuXVGRNhYlxTSQ9alibEVZ1PXrnDV6apvc
t/Nq5bRUGGezrcwtuDcbrvAqQqMlaaOF5BNd1/ExaVtqbprO8mSVdRKGNEu7xM1HYdxCz9vRlfEF
HdxyUYYpmrN+howq6bRtTpa6Ul1Rp5Gf8rVmXGSMGt5k5VabIfNb2bxJ0eYrudWWibwOo/XgFk3X
SNGk1UdIX5jkC5qSGAyuNP2u9KIPxVwG+rYtKfja5PrhcZjK4ePYpvMqB1eBS87VzB6CFxu+CMNa
ffRL2ueTb7rXFBn82m6uB0CMePIJkLKtZTmMFhUxrvgVnzcBZ9pNm4VwprZBKswXJskW0AUWIobb
QqErNPaml8wrxHcRMj38XQ5gm3jZqMhVAo4hW+G6TZo1FTe9achYbFtF6B7qAV5s4wC4mfP6yieN
fce3fv0U60aD5Qzr+qhd0mDJ2zaKsskMopMb5/ah62r81sWuVTmhrNbFVKfdkqlY6yZflnQ4W9Bc
oyuzenJmJzStp6DvjKzW1jV5UFV7mzRibXcAy5pbb2OXmqxanLs4aczu1lqh6GpNu7Y+42zWdRYJ
MppCzesKeJS0YwrGKPR1b+nGM4h0vZLGIAYG3KFFySZF5WO0EvJGI1IF2TNOxyx2uEIAXMdEZNB6
sNcL+MQkARqGwvYWTkEB3usyUbO+zSxNolT6zbX7BNoeT0tTuVmKJWk3GcD1bwajZyuZKNm1a+N6
y1THNDpwk7A5C6oUy42rh/qBNrwadwtLt+pMT6o/QPXGB6mXGYe8qYbluiEcwhsdR7LtFij4lqxb
FvaaD03jzkc1tFSOcRKIbIbYlTloKfGF2AI9T1yA8gAbNN3rwPyazXwGeMu0q7pd0jFfrK41NJ+j
Qd/4WSkwat03Q6HruXyAEO2XzC99dxlG3z/GZIS2A7dxeL0ma49kn6zdAw4OTimIUSuZ4FR/rGDf
TygMttyTytsnx1Hq8h5qsF1TrWkpEafdh2RddF9UVTuPWddOQyVX00LiFIFs3aUYtlRJDC2eYee9
KZls2KyuAgsmFLhv2F1EGvxU41D2O1qVWsh1GKIe1oFYJZ3DVknVRvxGxTbi+1loce+mQegMbVPa
5AkATy7TJB0bSYGYeY40GToJ09MryzB+v5bLDImMj634C8T7eyTCY0AJApMY0jlOTs+/QiLxiny3
xaPP6Fars8ZG27FcxuUvpPy+eOBxGicnIIJZCrX8t1IsBMkqBgVmLII2GkJeHLs4bg5ASkQF1+ms
ZL/46VhGfvsi+hde5pcq6wup8GT7dahV9Utb77fL/7r8tVf4c0Ppn/dPjcF/Xl1Pz8MYhucXl4+9
f7EL5tPP7cLvx5wk/zYIBP+ykhML883F7yihPyB9vnQi/+Dhv8YIkRNH8xVW+x0jdA+tT2CojP+V
5j7xK7+M+pUMSl9RCMYUgT3R01+go1/IoBQInwSqbY5TJlIOHZF/kkHpK+DRoTKDaulUnEFK+icZ
hMkrwLa/MLmxAMro3yGDYsCtYCZfwcsTWQ+dTZGmFOoIgLTfw+aFaNb1CuJdupozS3iF8naZ510K
ndldrNR2XJIthng18Raq/CVSb4CrSq/nKYx3pR+SgkHdse/bxue9UWZf1dUzV3q7RizmZxrgspI0
cvQc9ekIsCIap0KLYHaonqd3qErLaztol+OG2MsmnaKnWuD5MU26ne3Tm5VN6Aj9W3vuFBZvFq3e
4ZItH9I2cfcLM+Vdgkd7ZfqA3ycqDu/btR9uOh7lWpWfgojMRez08GZsKr4roT78NJXxBCCUNfFu
UcZdC898PvYpOW8mFEsUrbOcp9TIoR5ZzhoWlExFwNcdE/owB9rekKV9HVOgtLIx2eyuDMHLqinp
VdmXm1T9anPejcNtZT4wPM75SKYPLo25A6BuWd638VbwsCVZ3SxBpqh+OyCkZUdm9Wbl6QRADAmb
Ma3PHNNH2q3Xth5Uvi3dup9ROu4FJNPdsnR1xhkSST6zRki7NJsubMsITDxNx6YMtuiWacqSLlCW
9bSsc2+xy2woWcHKGumCkJGWBYCi0D21jttGKmTQITVkEMdoWZvrLURyTYH0KSN+1ngaPYztPJ/7
qtXXUwnVliGtOChcR3kKoL3N12k1u55zs7MGqj0EvBHbb6F1A9zV4RGYz+4uYUgBtExoMZRLc+CM
F1G7FAOaw0XbPOHhY2UAAPNth5J2PaRKvU9m/3bDG5O6fEi2et+WZu9KWjjghZPqs6jbs2muJWvx
M1L6TWiolorUx46SYy3MUQ1zTkl0qVu0w+NytVp1N7b6nJfludPVAaohf4UhMuSx9YelirLGndW8
czuHtc/TZMj1+jrUdZxmZo1uQ7dllVhk3yG5+trcN9XIZTdgwLwNv4wjZgqPlwyq7AMr26JuxHEc
UMGRkSEmeyAu3zNS72fHd/H0MZTJbZQW7UjvkuptuX7ASzlLXk6lnNF4qu7IjtajutowK8AO98i0
+abtbu7WRNZkaPNluvWUVtKIZZeGdB/IkKtgTbbWb7uwHNK2L0buriilD2ygHjg4mCO1WHajylB8
HvPPWydkxfq8Yuux7Ke9CxbvEUFT7kTzxvWk2UE5c69adhG6dchQ4vrPXZtA3o9uklUXXSrejDV/
UyHgR+YSUG0d9Qc8osukf66rVE6bS3NNKyVdy4RsTQsVwIxQ0S5mk2wC3DXb/Uy6z71B6IOxoruk
TSvyhK2AbvxbLOqCzCbrdHTQEc8mIXasA4LObvHnlYVqXyVVlqS3I1KfwGvfVunBIJc5Ja51crm1
5DlJ/Z1C6s1isciE8XOWmOjat1sl62AecRe1gOKMlfPS3FVthbO17K5LFF+W3M8SOWFkpPhNiWvA
hoDfPZ1viAm3S5q+D4t7m064k6KLLqCWeF07sLJ+BFbI+Fs0du9xlYB9tpd29e/L2ByjgIqgYpMp
26xyGvFHNfuneRgfQrk1mR9bmuku+gj55DFaqnMc4kMMBYar3Bte201OqvlQGmxgvXE+plBZrZ7f
Br7sBY52cx2up0CzalTuxi7Aj7uq2c3DKgHAcQvm2YJ/bx6d0/GmIltu7IfFTDs21BcNrKqN3pGF
Z2HYiFR8eyxLCDm02YuwSJJUHgw09LnHdeb6q0rgwxYSqKfDh2nW6+MY1C7Ws4zbN315jiAMIhQ+
r3T83DaR1CYGdMcUkBbl+nlxw23f6Vtagxlsw3hedp88xAWvqg+lqz8uRGSRiW4gH4HNVueRabO0
9DJO0ow70WZzpKIMj05naU9uXemfXI38TlDzdtXzjTDLThH7htMlKyf/cbNdYQVuc1K7oysjLd06
74ifp6wDem1Lp88h5tfNhh5WrK4cqm5KVh2XrTQScG3O+obIMG0APOeqPTbe0WwLUOQuIgbcbToZ
Q8co2xrouQCPMWfV1LxRytzoRR20jlXW4fETNeX9gvwnZhN1rpu2k7PwuYXKsiCmPI50H5XjeT2P
ckjpmONWx1Am0RmK0VHl9XZMzWUzkCydw6Vq+k8CanG43VwsLoFD1ijTvYilqA0QfZGzEs3jVb3a
h1r3xzEpC4xAEz0GDmAC172ONVgCsnc+iApsPX67aD++RdDY+bz06yq3WM2yE/4wn0jF1Q5oj3ol
MgehPnPtcgVB5gnX3XVb4uh2wk0B7L8D103OWdyJjMYTnHF6DamcyAF8tU/arPXde7d9SgddlATL
KbxOELR0SHVRDu41r0mhJvzUVMjsTMDhwOY+w+qp6d0AhlhLkW5ZEpF8KC07EDecOb0k13OC1WH2
H6rhwa1pVoKupV4nOYxJRmeAycOywLmleSfcjU/UccDdId7UrqrKrKXvK2aOiFa7lGwZN1R2083U
ceCXzNkcq2thcTa1bd6A/XbRO+9XWVXXaXrsONRWUPXSscp76s/iErgZCLa4A/2JGJADylX1maOb
2ph8pN2+EmVGpuoKmSeTuPcpo7J3JJsXdRFol89V8tYKB6HY5HbpJPAnH+jWZQsgC4nVlKnGXpVr
v6s8O+AYWGlBpJiSo2dVAcXweYpXaSKVJ2m9G/ttVxHgZIN+13bkGPzaZzO57Ef3GvHpg2/EOZ6j
vMOlBKIpr2y8M7jMEqIu0vRjY8kNGkbpZnxYLNtbi28rMBVCPgdRQmBRZz2QRQbfT2HJ+aYKzdQH
PfV5g976DVzHbzfx2F0PGkYBn1YY77LeTgAI5jNPgIJoTJNzbAGG8SVvfB1y1vp7IEXOWh4fl6nO
VHRiu6zdRaGr5LytB8+TvAtJKOpqs5eALbsMskzIQl+dlH4PGSlPAc1UncDnwrByv/T1p0H79Trp
2Y6WYrc6n57Fi+C7hbAnWneXpm4Bwca1kyrQY7W5bGLtdbdWO43iB/jUqaC8uix9DxGRS8d8f8kw
3dWgogCNNjml5XzFgZ1MqvPNDJ+HCMBOlgIfm5erdlfOg/0zIPDyYajvHaZdMWNey2jzIp+4BsdY
Pe2yxCX5FI9ZZeD1XuUO8JScgUjH9b6sl71J8Udv22KK6+PMWNH0JaxUXdM6eqzrsjABUryY7Hkq
aNYkzVXlJr1HA9t1SSn9QO7tNCy579fCreTS2vkML6jww7YriTgCtCuSuM4FHQrGL+suygmgkm6p
ChQlLUDmJCO4fF8CrMW2f+07C8xECViiXfdj8lzidzEBlCRDveRRFLJ4rH3WsqqRUZdknM6yUUlR
J3d9uAI0m01pd05DIvl4wHQ6EBbA6YCEIGHYtSl0r7tFFSvUK9BdPEQDz3X7MJZWJoO9IBuPC96t
OWn4roYDaVc+5RgS5YHO93p816/7Ht3y9WFaywPBRLrN7aaqe4iAFxvDmpGoX6B9SN42MZHbfIOD
sFKjZ57wgzVaTtDQiHG7ryjUQ/P7aqH7TfAHD4FZ8c8x7vOlc0es0yhXnOVVHcsRbtYA6ZO5y6Jp
une8KlIwEBFUlmy9VN1y5pslV229wxuFIOxep30zFgCEgS2JgFtX6BJ391q8a9xxNtFV2tEzTldA
IqIQtIDvtmRXTRJwPrDe5SKBcumzmMx1bmeYdIiKsjnlSrzjpk+O0FdyJ4XuqYjrfYCLqAI4v51P
XZpvXazP+pb73HePSLP3HhyetaUukml4bU7NpCHIKYpzIC1vdAD8i51dX1e2lJRdp6K69BjLJTY7
Oq578IJj1euDT4f5SFUKi+6UeR56xw6qswVFRGrXHNe+hDCSynYt7/z4AKQikFbkYayRbPEgOU7A
BMbmviR1gWbQfgwkZ01yB5lmP+AZjDDMMklif9EKLFcy7n1XOTB/Dml1VG8gsNw6hPaCVlkXIlcs
SSLLMoaOHcSTJVWZx73PuzVeAHwLUZQpsPL1ut5zDF3LeTsvW72fCDZZsAnOWqWqM4ys3FCftUQv
ewR8VloavQOCNScKWOUZeupbxcVhHN4CT114E581U1dMwEh6X2W2uiKD6bOazQAm1F0SMXuVKsA1
tIMIuEDYit9uNTRIkujK+hV8GPo4ZsznupdCOXCytEijRslxU3KqoLMbW8DwacPhS48GuoTgd805
T+F8UdFsc945pqQWV061F6x6nmgNbNnHEL2fl7rbo8bslmo7ij69G8lwjoSTfrUF0LavXQ3wYbvj
1SLL9tGhe6bMoQRt1VAPb85czW00vbYi1llI58O2pruh0lBWQoSDbwyKwS5H3MxASqstPEfLCOHF
hmKy8fm8MndmIyw1ndrrktdZupbvW8aPQNPlaAHAWescCHkmXdR352wh54wBWu1tVFRrZM94NaiM
Bz/KDgL1mnouYyhi89YEbzLa8qbZDelSJgWUF0ydU9XQNbN4cR87YNuTKRl0NqT1iTSdmtKd4Jp+
WEsf4GQbKCHr8bmc+YVq251QdXvQjneHpkzAAqsIjRfr4thxrOqoLfSCInOocAjqetGh97dc+AXn
U9Sz6KyfEfRkdU7YsivrEWwJlA0gGpD4zQgsqFO8cHwFMNlGT5SpYqkG2PbYZSlwrEu8Xm6YAwPf
7TpI3eV6IGBIRT+sRQNfy+x1F8CcqxIKgaYR0yBTHnMjgaslZ+Wg4fVppm+hNz98pEAT5LFDc07K
sXu3wecAlwMptXuEblE158DP0nZHl+pm3Kjtr7VxVhVuRirK3WRqVSBjPeR0ET8AATKdmWZYr9tR
QIRcenuvITgeRz7Y61BpIDcsoD8i2zn6DGw3ugymbGUJ9Mzzpgmmcu1KlNEUIhDqxrKSjNC7ZWzU
2xTOsIAOzMkcJ9DyRnvZekgEqxpF4WsdX6DIfmyjme5Sy+763lQHOsGG4ZOU5M3aclNMUwWtTQTr
14GWWVP309mm2JJvEVSwdTV2Hy03keSVnk51vT1n84lZYpp9QE136r1GZL5ftGAf6hg++pGzgmuP
NBAnvJ7c61N1tYevXMQFCjNcojk65wuFiiCNFwARTAz1rY+8uGiDAtKH27W6tY3AE9RibjxyEvGr
FhLgVetLfjXCt1QXWwvpwXNRn8/lwi+FOR3y6o7xQO8JJfas6gM9eIqTNzyGkqxtxafWGFgSeDM6
JHMDjYmS9dm2zU9AdQ13SI3zLlHRaemmeZw3wwtkO5PPWnR7Hq3u9bwhnWRtfVrTOIxH7ym8ODiY
D3iiYjbNJDK/wqxWTOX1PEcP8G1E9dbjeZFoIgDZTyJ974Cfnzy/rDpf7xg0Tw42WUnu03Y8zvMI
OPokU1m93PNNh2urrb9sQbuADurqljtT3fbJ5A9utG22dNORD+wTinuYd0Ykn1tSXifxxi9nojuV
KXH6sw/AZ/YgFnoi5bUXApbSTfPO/j9qvqy5Uhzd9hfpBAIJpJf7AOzB9vbstNN+IZxppwAxCAkQ
8OvP2q57blRld1RFn7f70tFd1d6Ahm9YwxeTKINWxWQAIJfUJUN5HxSzOPzxpaGorgprC8AabDm4
QX44XtZXypTRq2qK8FVVYHl8OeGHz2vbzw0WxNa4Wq01u36wYucA96OgMnfelxJwIL/0Fep7Vi3F
LWh8cehjh0baR1uEAoVQ1KzbC59afzCGPDrX4sMinKJhbX862pQZ+N/iNqjIR6AilmNVXSpC+RFI
XAjVJ82hD0WUOSVxXtBbvtZd8PB1mL5eYAvWdxC5b31dASO0S/OgJMOCS/LsC7z418v1pBc73Tp8
wnmBWIlfZSv+mUOFJWSL4JBwdOQAD3WAtpQxWtw2RVwdRw2qHCwSUnsUoxhMFnlyBRRrQmIZGpAg
e+xHbLDYfbBsmWsncWAztqep5VtUgED/ek2g5B9sVi/9ovCas4wyLXSXu9rLkzfq5evlxqL2GWEx
f8CVQx/E8P4uiOx3thYiBTu+pEkjLhF/u73qoyhX/rwyI1qs8/p5wS5FZO66oUP9XHxoSBZSNmNd
/FZiC+d5SZWqujSI8DIaL6JWPKEfyLOl5U8S10nGBEFMBMu3s+fDLwag5TUuPM4T+Yhk8ewS3KMk
sH6PEg39G5DBlIXkuadnjFbgYUHH7gTYkgI8fqpQA+ZlsTVH64bxj8ezil/qEefp6ytBAeIX5q44
hnJ+ZyN+lEDIkbomxhVf5n7Mthk6CQ/FUiZMgVdhzXjRjbjUQuHTI1DOeSm3Sx2eP/Dr5xByvt7K
LpM8TV1zQ8p1OHQDLtTXgvTOBEfXnPfx/IU9FEa3YsH/9MkMNZGbmwdfhVHejQu5IsyLa1Cr4kAW
211CWYd4Mfjy/ut0+mFbfgjAp997GpEr8NXypGY833ucDAXB7B9bzUotUzOBj+2CdSWpThB7vm6U
sog4f1AU7YpfKF115v9wiuVEHtEyAYmo3bqlVg7iiQoIjVxlBeLwOaQNFv9GaXyZWFb7vSEkuZ+q
t9iGQNN5V+yrSUVPk1T8WGhlnsbAQyBbUXpZS0bymmhzWsIp+C5ZjdA2Hc8w+zigEFW2D1JWkfqA
FBTf260l2eiHWxE+SD6Dgu33blAPsx7Q1ZM1LaYFfQAqv/1aOsBUJf9VD122RSa5WLfoM26jK5Ms
D350nxKEx46IficchAm0jPh+Mk2fmnm6KDb88RpcW+btERfhapwMeS43CUHIsl6Ouh6OMUVGGxJo
S/qmuZum0dwa/Bdp/acU8+vUld0BOqL3npHThKoX2s0jm8xbPKk7gbOfVq1GD/3RFPcSQFvtyd7N
y8sUsU8wDBap9x0R7A7arvi14fxnR+srrchFF21pGPrbhY3o3ZbuAj1ndLTBPOV9PL6CbgZOO/Ae
4Xi4HXqJUhEGQzXeQxDxMyl8uCMmUBmHafCwsviiiMIsWTmwWfqyTP2jZd22Q/OyyWBfiv6+E1BG
+OhbGccXfBIvLO5PlkXyfpmBVCnT2Tkj4O0zVUw2RbP2MXhz1CKBmAgJC6iNYanU67Mta9xGJQ+W
DxbLGz5bmYDP4tcoid5ZK3d16cJn2UWfU8WOXhaXswsfKs/2JGp2RSxTaeI0sctNEwRlqsO+zGJq
hn031Crr6uHb2muCBuWmLOsdh2RMjAx8AbtAcfZGmmBXgjqAlEpc9Zw+cD+2uezosqsh7ioXtmZ2
Kp9ns35fVM/y1SM1iAkFstVDXgEXS2MEq4pXl10MOiPQgmeQUlx0vjFo1LtxJ6qB5tOgg2MQF1E2
l/2zdea7H6r4rCGqd4bIZp+0Fri35SydEKVy6QVa5L4GXKHL1ADHzsY5UjnXy/ropjdaiJwbfE1Y
VJAiEQMegojmUjaLvqBlTY8Glyktgmb51qDgfpunor4gWzTlnOP1bFO3B3x9k7ZiDFFYCiD7s5hv
A9I00MXM226tNYXqC53Dsm76IPvIIIiSe0sc+mxWpRCaxTtQkk3ek4E9Db77AOPTXNIiWvO4HMP9
jEixh8q6ugoh3kxR5LmXmQ5TDhTf3vW8sPlcE3Z+QHTwsdO/tA8ooqaAGI1b0h6o4fomiWb9vRqr
5LIGjVQCgJL7OEZ750wdIG118lLhYDd4ozi5cJyW+yRIomclYpd7i7q18qJG97FMZTYFU7izcUfH
lK8ciFXRRJeuI3qvfIvN4Iq+LazqUalp1qe2GYZ8gVLmJ8KqzcQcNBeNK6MaZ7gO3no+NGsam1Zd
cWXAfZVj1e6VjRFEC2xQStpkSx2PzfU4VaAP1zV5riUpIDIS/LKJ5iinbIaMSBjc3WaodQrtX1ul
IV1BFSkUcKn1ZQJBKX2LS5mkHZJPl26LBWBS9LeOTxFEKZtMawg1Mjm6Lp+YUadlalpU8qZ9N6LU
FH2JDK4CMlC05eF3I4blIwQhf2H6RWdibKEOP5PWKecLVIF+SnAgIemM8qBDJRqMcq0OG10BNrCk
zqHDmC/iviv9DspIVIB9jxqtQgY+FUoW3zUolHdNUeipnjRTrptQnliCws0vsbhmIfII2Yx8BCpK
8debNB+C+u6gqip6/Sp5vWcohjsjhzPObPSrG2MUuH1NZMoTH+h0XpdN5X+UrTSsrgTEUjdMu7Py
VlfQXY0xsNKWTNvuvAUQ9SNlAtgG3QMCdNzDT1Bc1xM+O13qaflQNERs1i680QobnfdFklTAbn2U
63jcaCaq0X73y7kkFQ2KtD8K7QGlPjSqfEwDPW1I9h1qfMW75sEOlbrpNfag2aIGp6eL3yI+uNs1
JOO3OWT1qRqK4nqNG/4QtGV7bCcS59Uwg99pQr4dpQ1KcIthTQ9bOJ/R6qoC7Rd6kdoy6g5aI3eW
VZVu7Zx8c6Qy1xPvizu7VUtWbgDFlanU7TolqLENzl3QxnYfQM41KZk8hJCqXHcTuHRA3KPMoUaE
vG1bWwnQq+IHENdhmyaTcBKa+FIDIOHTrzCaoaOztD4W1eavFtTW6Lnbbe+4WnO2AK/aVN0d2j4u
7rYtRG/bBe4UVWUJqnisOOA96ugHIOzoxFra3IEAdsD0Q4n2ogWiPLQcVyyaIUojoMVvoYkUwb4H
0fcAl0Dzsvq+itNlWPusEZF7rRrafrpFtQce96QDAAEcS0/MIxp3vn5oG14ci5jrQ0U3/sI5AWNr
qqn6aJJg7NIZbqVbOBm2Xadi/YkGdvxwcR9e+KW1OpXB5N5oMqrk/Ex7I2wVXk3eaHumnquLQvKp
2ncN10dOPcgjy7BAswICuRSNOpWqFw2y91J3GTNyOvFkTgrkwtDvrcatSHvNk++G1ObUQJU372TF
6h8uLIAirHM9HNZ+Tm5aMYfvsoNCPbVhpe+SsgzzulaKpWqIzohuYCERFJAo7vzocXYDcj725+re
xIG+ooNAMTTZkdSpGxgui4gCZGmqGwiDu/i6wQ1mWdD3UOgGoEUpZImRuJmKKbnTxJh9VC/FN1B1
QOZR5l8XhNR7ZSATzoAFPTdxHKofEp02OqlxouGpP7cqWYm8Co1lPeBSdWtDNmRMqLmOrNeNh+Z3
QWnCVEKumqWKAM2h/CU7Oqwa8FmUVCkadG0vZe/pa0JL4M5mtlBmk3hm9RXgtylzyTK6fKO1bk+D
rMqPapH+HTrU+mmZaH22eSQqzlGJcYgDsJ84XUgmfY4kRL7VEVw3tQwKdFyT6QEpmkVdErINJgOc
AtZclCE/UY2voK3f7vTQtrAfTDJcIcbZ4kvkakDKc8Hty8IKEJ11kODDNW3UBxlp8kpWA+FnWNld
RRNwVGYEnYlWyTUXC9XdBULtU+mW+9X0A3TWPTNZIswHX/0lqrtHVhT9vf7C2pk6zlDdA5yoNiBN
MwD2iqzxQxtQ1UC4vP6ARvFu3cLg1CgCtDDB/7fYxDmoxxA2oiXXOxxQllfRrO5hs+KXtg/nQzCo
ZDePgp/Q+MT3sS63w1otEBlN5XBvm5JdzUMSvyWxIulwDkaDPBeWorNXm9TRj6UikF2ivrhssdBV
Coq1aPLZ8/dq4fNV6yf2E7oBiAKLdewerQiXbj8SIFzHuGqX5UIukEznG1ThJoW0Wi4Hb6Aph6Jc
F7mYdfdipmkedzEtlivETHUoI+h5ALfHwud87gN8HkwuSa4VUP1ere52YCzqd0Pl1y0Da9Q/UiuS
n9wBLyuKjb7NdJqP66BUn1JKUd8WSfgc8a4/0/m6j/JkCeUP03c65SEYE8v0t8JV7q03NZQr64+J
J+IBQW7GreyS8bjOcv3JoeuaAJJbiW4R7Rpa/o6gVBA0hjYJmD2OcA3xcGLnC1hX1NNWFUV9MIsc
bg3OLvBrXh8Ks9b2LIpObgHwoj1YZgMwT+ADWYNYj8qjjC6bNQZ+P8th1zZ0RpxRXr2TypWHxRtQ
Bi2AL9ax67MaIm8agp1ukTEgHUCbxJMeohZLgWAByMyLqktQ9dH2DWFxulPRPJzWIJ6/Ox1+aISx
zAdVk6q6aXKA+/msqMgUE1DjSNfup4VD9h8P5VO41fFbzMfLqkfxlxZ00UcSRahpuK7uFsmKn3Kg
M4ptF0FyZPkFsBzUNUGDmCPG27AT3aNbQiTpjh8iaMJTiLyvKZ2QZynYPkicrVKPQzy/jOo2ZNsM
uIxcQOjUgn0E3Xg/B9184zrfPgACFccktutl0Ez9DQJotCsqvea2r5o94k90AaWu/uW3RWlI59i1
03K8asKBQBUwqLtiRQhhyeAeWqJ2ZI51ZoEG3ne+Qjcji/aYDEOD9Z6KmxBaNJXiPPC8MkNzWiAM
vYa+Ymc7aH9LErb7QW3qBFAeMhjaQxjSdHwXLYHOp05ET6OH5MaEdZRNcntNdBxnHlv8HeYTdhgE
vyJO32kBYE6aqD2C/QW0Wi4EgjW35qoogXdD2X6kRRjn29qgutHjr7LViPdGvUM0WeGoE9yPgJsU
CimfloS+DpQ8RAM196OZ9YMKVbGHTwEddV/cQAeOwGXI+GyopSmDzBrgd8FvmrFJXnmQFLcLDGK/
1BatN2Wja5/SEpZE3wvgbY08oHa7QbVW34fJMh17quUdgLXxncPacWiC0b1zMg2XxdqBIIYU7KAm
NQCNZvRahL0CWWsKcBob/kPN8I10bD4AgF1gcsWmQ8gP95U1Gz+RRPvjMFSLwb4odYARps6jLcC9
iPuAXhNLqsy2fXtVi4Xu0D9Bj2e82MV+zalDRTWZp5rpg9ICN86HrLoxYKAuGxfZO7mUUdaW0j2N
elgvUW/F6O6BLf2B8GxIVleosIAGCbq1qQ4cIF8o3B8srCSgC5W6WAGK7xhkCTu3EqR3pCJ2axv4
ioBVDvuxGcB7lGTN4YqxEDSPEIkEnN/G0A+eYFBxl2aMylsw6Xo39uV6XZLGXYAI244s6eEtiEqV
rYTRb3FNu6utKdTFuECCBTgFrLfqx+omaYBVhW23IC2ByejQnWfUkua2th3fK9iObmwby6tZy+o0
GIIKBj6/i6kxYh/rszmnWFd1URYGf+zD49S14/VA3XSICADHABHO2+bkwHCwjNF5ah/BqcC4ukZi
hJ9krlzOSANCMrLjgFTMN/9kxn46VSKucYLiKO851EiRRHxTaHqh9QSFmsJA2adNUIbgtkhITx5I
AEwOqE6apgXgVMymuQyAbULxtclTwlvSIuuy3qeqQrJrp8lclLF06ejIsiMepC43Q/FDJJW82dql
fre2HS/miAEtHib4dSqUaVDtxVQCgiyD5iEpJ/XB0HZeriUdL/W6mPkE8K+4jYCgXbGVAs1fO/oy
iTECNQ58oBsAHXroygGtAg20AyBQUfR3X7hibYHZdi1wXygzQUlEOvCfEZq+Fxf14pBMof2uxPnQ
JABoQSzJE4C96uqL8OgGC5wPEsWLhIBe6NHbAJGr0Hc52DLxqNrhZTc4ZVLWB+ULI/BnAH52zUMA
RekeJiA0L0qPqPcmECBApFDtfIG60RneD0MJkDe2wc8w2bIm9hAajOt7IDd/H3MEnqYp0SXHDdhv
j3pZrGcOzWuXE8fIk0ObuJfePgfJY+WgqoPx587J5UzmmbzoVmA0ckhSXw793bK0XTpE/l7Xi91b
WVT7GBVVCkhyuITmK7lVMO/kdEIpQyF9XZGgobN0iThsJLlceZJkUIpCVGlaVDRFn29wNLm0AImh
oN0JwjyIoMwIRuH2uhPbDQmWEN4SOVwtFQtRwuIbe0i2kanWGvVSwu8ieblx1HPOtOXjysXyU0ls
69Q6oMBtmaPT7HBMUWG7IERq0gjc733XLU+63YZH1FDyBHKueWABGuQvoXA3YGGDcVbwk4UotEUd
Do8OcwRO87JKnRKB0xLEwNoBwVZXTHj0wdUEhRVDooSDZSlZ8fqlpP+PDAa35rN7HO3n5wjvwO+G
gT/7Bf7P/78mg5DL6O88Bul7Wf2/6Utfwya+/uD/2gui5L8iDpOzRD2JqQTs7CH4n1kT8X9BHcbg
LUgg64fJG86D/5k1gQlLUYJBEDQQMBew4OwodShEznMoqMD8mCAUQQT/CrC3RPwn9oKzd+BP3gIe
cHgcYhozyDUkw1SBv1pUpqZZZBkvPo0aYF3bYsS3ZfQeFVpdPv5pXe7++NG/HWtxfpQMOaZOhEwG
v9sYogJDCLoohBu1tS6FgZ7lU0PoP1i/f3f2nD8oTDC6Ch8TMpH8Nlxg68FFwGUMoVIZJrmNenOK
YDe6/ftvoWfrzu/rFqKXjATsPRzG37+uW+jr2dYzmdNx5vZYo8k/AW+cbvik+AGl1bir1cLTUYQm
9XqcgRhAYnDB62iFVAze0b9/n3+3jbCaMzieYXeX4jenUSW6cBx7mCL69aw6ZLq5WoKk21eNqa//
/lH03z1LYHGxm0GAA/ybg//sRa2TFfsIK+sTkjQDlBcdtkKjJ+NH3tu3qfJvEy0uKlY8dnz6vvRF
vhKzG0Z9Ab/iP5nX/8Xtjz2PAw7kIcCohBie779uRlwMsWZCgfahVkafLcpmfQkv4OR2AnQAMN1h
6PReV1sbPtAlhG9KTaTfdTP8P7u/X55/c/4gzMfdhOcrwv39bScGUBLlej4Y5RiTC40tOzHGpn+4
S/9mD/7ylN++uLBbONV1ATm2gO9nifs+V3YzORTjTf6/+SCJCxti/A1sbH9dXGtdVXQQRcNRqcp9
KBeyN2Ev0//FUwSm0cA9L9DT/jYrQSrUYVsNwXLZ1/Wb7zd3Q2YSP/z9U3435J0PyjnaioglnCHw
/vVbSJQoM7dAkHRFa7jSDXDyFSjITjE1ngJT6ROM9eYymuv523/+aBHiQMBoFsaM/faBIJk7Cg0F
qjVI0a4Xyv37oii54EBN71oiR6hv4/gORrXkH2LDv55IgdkEuBswO2JwjPwtVBGvYk4sIOxasOG6
1l1/RD/ijv/p951lSdi6AAMkItAlf13aMhjmGGXUCtOMeQhi/j4z8VQA6JprB7BYjceE2au/f+Y5
lv81CAssZgj7XoSJAIn4bU0hzPNqGLs1lRj/Ahc0hUX2Wppt7I6GRlWcOdaYModQd0rS2ekaiiYd
y/r571/j94ETCD0YYoOzxTkSAsZd/vXTObTxUmq8BspqmkZLUcOrDDVjA1glY6MdDn//vN/8gMjZ
5+dBtEw5JouE/Bwc/mReXelWwEUHbMj5sszCpa1fGoXme+W2TssqMejwI/kP+/uvEUdQTuF3jCKG
U/SVFf700HJjNYz4Axo5BnoUQCjJNXNyb+p1+oeI8+/Wk0d4Fvobierkt4gT+WkTBYdIf9kiPeWi
ZN3DVgQ6AO1aQbFJ643G//B5/3JJUJ8xisFeOMPwgorfL8lSBhTaiDDlCxT5xIphZzRAm/9s55Aw
sWPYs/MAJww+/S1sixCsAzwYSToVRfCwyNllhZou1giIK6375WHu13+oh2AQ/e2WnB+K0xLCOAoS
E5Hgr8eFzmu7MkAqaehp3cArN1vqMjsjYHy2U9j7s34NHSX0SWaBtQaAAggJ1TXyqYb4vb12tavp
g8RQGLghxCz7Yy18OT425QjIYlnbmeQr6KvuVXAdgJCUcQHT16KSwV/14VLYrG+mxL91I5vDIB0n
GPRhGl3jesx6W23DJwgATCJIh9AZeS3BAcSptVFJL7UaoSXHnIggim6ZCly3dxZS6zqFIXEIr2YA
I8N1mEw+vobNAHb2qWU17EZbhY+sok2bYz9F8S/eiLLLRjpySATGkIRZrAYsChRyHlWcDf14p2oy
rK8GIhw8GITKCLF2U6zAQu2kHiNMpQKx2KxwlYXTQKK0FGW17rgiJXRrAFHfuSww2iJgEfyPGBW1
vbbVAvNoB1vIuhPJNHQ7THqAYB9sQRLnrVBFZ2EiMNvzFCKYgTib4YLAdAMCGsdUQ3TctN2euW02
fwg9oGqoi2UFxiTGPIV1XIfbfoqxQNYPyWkEh2fOHbxU2Qb5vriSmCTxtlU8gaGxEp5lrey4fgg9
GvgfKILOwjEQmaV/oD0EiQNcBQ10JsAf2Lq+dgwGwHIPz2Zhfg3BVF4A+FymGw/r7YRZAevwOlsT
0LTvRfvmBwaxVil7ACxL29L8fEoAHFo//fTbiHkeZNgAiiuKyTBXWxKWFq4Sxm8WLtyAmRGluCdB
X25prwwz12VRgNaWciV7DMVQArUOIPHUGLo16QJ5ocrajsS/DLA9DK6YwJJkI7jb92Cx8pFRwCqZ
DRjstCXHgKPMeUAraY+WBzy1b7Z7jLht60PSlQDbZVEXP0FdgMHH/IZkyltji7d6wLwHAHnF+O08
ksPnk600zQEaQZaHduaxGVmF/WpZ9GJwCFU6rRUF7G4S9QyedsQQkGDSz+CopxJjn7qOZ2OoKn/S
6+pvghYhG0zRnBz4OvogVaA2v8Uln5tsTEh5A3ZIshSz9cIu1XWCXXTdeZ4Pxn2U/Q6I1NYc4Ede
H3ncgBQPjRqfREIMEDPRLwXUQXZ7Gaqk/+xnN7c5MkvcQ0sv7Jy2kkfPYCTHII26oAWphOemPW2x
jLXc5DUsW1GbxQaHOm3o0iFqBZBUbNC26JRBKoTBMI1DgMagNwkrDA+UhZFxwWnclslZgLYC8cSY
HqNDIlbB2cQaiF4FAa+bT2UExT4m6hia0lj7MNPFyq7rRBu5I1Wkq0wvA0yTrOUTLHxQu75GZJDf
BbGN3ZHWVrCAu4jaXQFfEHT+HeQyKfqr9purNtZkCggJNBuIDzZHs72WcFEo5XCBQt2jMzsjgXUn
gGnBpLfAQld6LtOKAADPGOxN/TUl0/JckrK7balOkI/ICCzbJNHUwMXaAtVZyqJcIbfpMGppnTb/
oQYKMoEXIKM9XqsEDGXcc4vDQw/ErTjnFZ03v5vCuj2uvZ86TCLT/Ferm6nFSwmgcSjTMIqihSe0
R0kRdUOuKoMjjiFEBYXm6WxBRYwq2/u1r4AggRmf69wXoVkOQ1LGkJR3MUivFfQdBCYJtPiQVFlP
d2DL+HvPl6q8CDBgZ8nQvS3PA2gwbG4I41Je0nm+bqQnxR5WNfghTbK18JK35CUcO+2B44J8ypdt
qjDGK5CYZ7LWIGIyN5cbdFXCmDuQ0AzKoynQHx00tW9kbLvTWpDCZQNIqSBFUAEv1PN+efJu9Z9f
ymMPzWmfr1iTvMVoDIZ8pKLXwMH/nsJmVC27ru3iGzEJ6CqCOgIO5hINtNbN0FhgNRSAvyrGSWh8
ADlQX5tR5x1m2Q0Z0WriOPFFILOOIVek5da6ZifWdR6zLoSaJ13XGrQ6IQVXR0CYZ4aYlA6OLafU
jazH9oYNcT1lcQJlU2qI5Q9ljFlsKeMdMLhiUsYeho2sEHUVmPpzGsLNfo85ePb91FYrRuo1Z82W
WwaFmQdL6NJBQaeRCVcDd3WjWKoDTSzsOJ1YkOAcheQ5V4iiT7TFad1zuULaUTXz+FFHfNKYJTBz
8HwUAGyPINHkUwCSLwfmgCWCOxY/2wdj+eJpP8ksVFMCKXvEDQbZeDQpmR6j+pGGtf6kSy1CGA2x
2ek0ekvzwFbrA6sMkEQfJSvLITSeIH+Nt+6u6kf+DUe+B1aPyWo6HUw7FlD3b/YlxMDEMV8msGPZ
SoWB+D4W+JcK1tu3sl7555JQgilL41gDSWUW5FO7ab5ezb2DQWY0NoRDBhB8cznJNVohOFPdd6jo
AdfXjQrFEYOXLM0wc3XcnlZH5BNiURtlS1yZCQP/NvmhxiD6CciAQIONelynIcbe1UCdZXSD2qFK
Mhu64McSCn2PY59w+Ie8gxwTUzVwBrpx7SGGJDCUSOjN8OftVD5AOIrRRphKaSG2ApbwZDHn5hMw
0ParAlSepJuCgfYAweqIW1fVMUy/ZnL3DKmPwCyRhCvIFAgejmMTh5+mWCXbhzEyJQZdqRY0LCvV
h4g5jzGnaCpuw6ktmv0cdQnM5RFzNE3oEn8bWwOqeRqiZUhbvLGGU9uxb8qiRM76cAyO82JUnyP1
iRvQjYpeKOxJvecuDA4wknQHVs4j2aO1WH7CUh1H9xrzJ8/eTgEpbaTGJE4pZwjnjJTWpDPo8h6v
lyzIB0W5IBk1MEBAX13IPxS/FbhqUJgQIUPyNjGFkQysjRZkDBRrMI77hKUYbYWJXy7w4bfYRhAH
Gk7bH3AI1A6EksJyMaPb5+3Lp2K+PCtDEJAC4WDo1K6Eqw2+FsBacO8Fo4LYPXB6eMdvtctOWhZX
OQ/gOUVuUrTdW0slfrJruh8LCTWG8LiIk8ugnzzkldC1hQIDUxwdXza7YomKrnMHH5fT++CT9QlT
eOG2t541NkP5J9X1APW5h6fsbEnCBDnYk1YO8c8lKIHqYzQhuDLLtuBVljCIbZHq12wmBQuymlMX
wo4dtxzzF6jfOUxIERl0POYKcx/iX7JHU3WkzndVHmO2FygK7dDQtVxv33sTRacl5uauN8kAntcs
Vh+D+my+KWcie/B+mBgBsqBY8y5qSwjS8dpvZe9keDVCX3ilA22vqqVF+IbwPjGwMPSw6dliFLdo
2n0WShcefVdKqEKjLvyGOSbaYJRVUn2vmfH3fYwABqRkDn5uzlFM7CCzeN/oWqKmcDp6Bn3V29yN
y4zpHXB9IClBanSP+Yadh33DJ1fxrMon16FiTtdhs1cw6Z9dpWZzu232WqRVxVvo/Dtiwwzu/fhi
rrV6rKDQ/CxGMj6Uc5Pcb1tBIQOZWyi4PeTCMQQO2B+Mk/1eYL7nZTfT8RND6FoouH393+Sdx3Lc
yrKun6hOwBXMtNGGToaURJkJQm7Bm4IHnv5+4FlnBxvd0R3c0zuQJlQoWYUyWZm/gTKbeYKuDZhs
hAFrCX2gtIroM921/jmCVwE/aNYht4E+pWMY9oHNMRLa7xhD/KObRuurMwraihCvZuNgG42YDpPn
lp8mNcTuFulC9TGAhQsGgBXJ2k892BBz5Yodd3Z3bzWV/DGksfeXqlP507Dpxn9A3zbntAxEmW3r
yG5uY1Wlw92Yj+1jz0FX+EFURT9kMDaQp3IjfppJMBAXzGOufCmmz8AnQn6UTEZLrlki29AOLRCY
mJQjfD8YWt9sYB9MlAOUBuO+7St+SkEBdqWGWBvk3hzIoWcBg0Zjts43ObThaWcVHu8RsjHnsYkn
WnRUbiFMhmnXI+uFtiCcettpp52Jqp4DIbOHzVimdc6B5yHwx78X6lecDYgNt/zLnzQXzfsGNtVf
tG4mb4ssRgJLEe08bSuLCI61GsoU+S/PqD+VXIEZB4/Z/MnLKfvaiYa3hS1dh/8CKP+B5w+cZEGx
+6mVbpf7eTcYqV+kxeDAtvCQlISupT3FcY+utekk1Yew6TVr64ZllCHa0iflLkQQGUZIUJI5xU1j
gUSc6/GTE+vpk2VG41/VGO47E04r6jut6p9zYH/AIKMif+pSmr2bDpwAD9fUcCI/Fq57BxGMlaUJ
ij4bHpxTRALGKSs6lFb8ro9JdnQyzd9CGJF6yDUn+9qq3DG4WZv8l57NtO/yunZ+mhPs94NlhnzR
si7N77OmN8khIs1xoFBlOslhJ3NnJzSpDK7dUS6ySMqkrCeT5yY0OQRj9AWcGxGhRLFndRfve4ma
6O0CjLO2eexNhxExnWxTJaL+lLGb78jUPHMnDJtftyYHCLeDnLJPgEyZ16rp+qfQddt4P6YIkvtV
HNvveLdGv2u7Bp/dGMBwUmQX4flaqlIbgXgT16zIWOR63NdbLxTZDxqVi25L7CQuOo558icDM6b7
oXSyhFy9BiMc1RmiMbmVheNdnZgJajxhiXgdKHfF3a874U1uI4YF7zLoH1Okn5Ndqi+ZqEYz5kfK
dgQUUdjTL/7n+aeZZLW3caIZ+MqgIefpJ5VosoNTJmkJ8Fm44YdY6DxJuTVh9fR5B1k6yu34c+Xy
Bt0CD61/l8qKeaOjggd2TvIAJlfIY3MPQqiN9gPAX8eftda5A+0z9A/2qFAdifK6IDNN6c/fJMIB
ZhdaXvJTtKPzR6R5W/tQ0tJHW2k2r76xML+7jSHcG2Upp0fxMkL9Sg52cDehy+3R4V84c4Vb8rfI
hjy9CyMhEamqOtfejWIMv4RNNd5PA2okPujtTq/3reoS6OjlPJmA7sYYZN62TaCHUHBIqvBmbBL3
uxMH7tfUc+tvZl1mTwgJzqlPYZx3UtoBoUe+J18EUWJP/RmMl75yDYQHpHBhuwgskfpvTC0wyZ+T
wryrexdwuBxrHnulp9mk4eDO76lcDM0uhfryBC5KPHltbAE1aBqeXRFSnd9sxAz/wo12OULEYHw1
I5t8dAT/DSkmlvUuRKky9Ec37NEUsPTybzHH1j9BoKgUtf2MQEVmT/2HVNcHfdPxKpu3cp7F+7aC
sLTJTas7GLyxRiB5Cp3UkJIO8lek2dxaqhHFNiFhSUC+CiuEaT9rSFc0AXBcuC5RxqvQCL8Cpwi1
7UwLDmVmalfTvs41j8ICdzZQ7+Elg7QCAYRYjFmFTMUM3qgfagNegt14f5DLBLsytI7xfaobA/JA
3Ce/ZAV5kWeJGZXbwopiZMpspDHNNP2CMBNIIEQQ0W9BTREVkx4NJDnvQ9UP2TYIhoGSjRZ6NWz9
Ws28QccItFQX9fd6UQ4Ji8iqfzulCH6aMpkf2dAGuCaztn/Mwq3NjdPX3nezJAWi9gS2AM72FPyj
0b37aoZLptvGZvBeCKwMNtADBLd37upbj7IWyX87cLvBL9S3lu3V76aabbbUd3j2u1IrnuGMDt9H
UVaASRp0npjNAmncqGjn2yoqQbmTn3xEO5kqRyTpk21gb5rvXaB2CmGH0Qz2fVW01R60FnoP3BRh
tp24ix+stkf5yTci+kmIJOW2/PtSqv3/Fd/w+7WB25EcIg3K/0irnygo/p93zN8Xo48X+UT+/b/g
BsP9H9cCwuDaKKxrkk/8H3CDgyMb/VjDkh7ISpw2+NG/4Ab5P4btgXpwMcvwaBXZtDf+D9tgmv/j
yAU0qzn20nD0nP8e2yABWCEzTnyLPoLuWuvGlynCIjFCVraSbWai7dDCVuu6wirvwlkm7RUd8OM6
+xIOYLBL09c1TIu+1KoDVgkn6NKWc01Pm0n+GbN0KVQWQSysT5z+9fz71Ze4iqd4iSdp7LmMULqQ
olbxtLhAAThTI1tWK55aKPifoYglh7dEQSaSiaNvSe8RuxDaekvj5FXfB7VfDr2uWMjMAnVmoJ4+
TYZ2dznKquXzv1FMg/9ed0HCGKsWWokyDzhEIFJBkSDm0SHrWxdj9iMcZ1hzqSfeX463avcQbwHX
aEuvEkwOK/F4VCRSjvSoIUNt4BFOZXzcRxkq3m+PYgIiW5xrbENqq1GBO4uTWgNJl1iR8VVDYO62
rcZr7iqnc4e0LEggPGPQKEWo9HgstQLe2KJYAGgXRvgidgizNq0lJfrSm1Cs0CH5fr48suO1vqwK
UE2SHhb9bKljHnEcE3olJZ9+WkiiqKTwmJbbpb/6TiMf2b451IKb0nXq0VjWrJeGUeVamZN4b8qM
R0jvFfOehJyCY5JnV3plZ2bSprEKfohpdDiCjkclK1THRZFj4RI3yW1HCefG5px4sErT+zDU4Oku
D+3MKnwdb92Zm9pyLu2eeHWhz9VNrkO42iXIvFyJc+Zr2UC7PPrFDO+kQR3k7jzFFHNpXuEm5CfJ
nEzbFhuMH2bYqyvBzk0iMAsXBqyJkLG7/PzVgeGp2qaiOcH3mQzw6X1tgM5FxkNaLizP0bWu9FTP
Ds4FLmewz/AwWW3l3uoC3iaG2uioilHuT4xd3BoO8F1Udi5/r3OhbLp3SJEbiDiuwXK6kBJ8qKbQ
uYaX1BqZ/Z7aLZJ9eVhf2WDL4f0K2rBsMPt1qNUG62enqhudUcm5/BBFTnhwgY09O7ppPVD4UM+1
2327PLpzq/F1yJOJjAXFRBQAkWDPfasO5B594fDKdj4bhUY7dUzLBI3iHi8Pkv2oxj2hhkzndR9T
ODHLg968gs87G4XFzmZeIJbuqucdyMCixuOoTdnQQzQhHO7jvrSv3I3nljpNfIvsR/ccIFLHY6k9
B/F4yCvgBQCA+q6XpXeZnQf/5FUTffY4r9orm+vsCgQ4AJCS/xEgxnHERERZHdsmApEkZoes776T
Nf8ylOHs3r4YHOyHcNDhyKUCfhwIbGoUDpIjIwqE48MIciEQQYG+HOXFi+V4mdsc7JAG8WJbLpLV
iRsJoDmZpOakTB4jTYH4PBr8PIyqKjwUw9JoseUhCNIURk87LCyyooPzQ6318m9yumBstg5lPUPq
L0nP8XiRrNL6vueW0Quq848Fen/NbWSC2r7yBfVlG62HjN4PdyYS3FJfpx5jE7qRPpY1LYIohV6E
yqZS1Yuw37vQFlQ+mqrc1Sl6vybx/RFCv883ALrg3XaTUFdSodOTBoyNzo70SNeBcK22/TCRH4me
XkKluQNI/9DL8appkUzaoh4FfDWuexuR0Zbq7FvnnMjAYKwXz72T9GgyTBS3dG6KEdqCX1OVQWSj
K6582bPjexVltcSmvvLmUHFoD/Q2cbbIKLuhIXvIkQaZvO9lMqg3H3GMiw/MxIF1BpN6vJawwyhM
Mkq1MSe3xhdjtHw84Yors3d6+CzYKDCvtIDBSMnVPVuURpA2zqLWHnr2ExQ/RVWWYqHWZckvJMPm
/eWvdW4eWbKLN6lkn6xPhCAt5zijeoJ+BZ3tba9ccW8EiIC4bt68M6ju0vYLyQKvjPNa3NU4UTqB
31xSAMxyaKPJUJaUDroZGr6o7zuILb6WJvqV4+/c5C7ZpgaQF0D5C6bqVRIDDD5XWY0QL0BR+a0F
B9Dt0PXBeajwNByKCtF+vTy9pye7t7x8F7g/mbW3zgU7MxyWVjNljwBBBlsBWjBzSLuiGN+edpJK
k8GAmgTALeVqR6TWPKeDbVUbAALZTkvnbj+28u3JtIerJAkJiaCxVAeOdwH1urK0jKnaCAwID2Zq
wW5LnEdNpXKT1dqV1Xl6fh9HW1bRqw82hIbdjDanFWRTQBJmDAsSHlc9T1dWxpKfHB/fwIbBSy2r
A9Dn2jaTfYxCdDRDFuy15i7Cc+qA1Kh2V+bS3VWO3X8eB0HLOJ8wF3r7VsALgrLIAmMm010N0klH
d6ZnT5NBtN6nTEnjAwafHT5UUt2WtOaTTRUF8sqIz6xMOAU8lMmwbdbN6oLgTWK3pg6BX+oBPj0m
HkOVDtkp1nrx9rMag8uX7BozDq7H46/oViBkrHBpIURlj7Cs6m5zs5U0kz265oHTUubF8uzKtJ75
pJQ4qDuQiCzEhmVtvVo7dQRSg+4Z53WHGsEmi+nsDXHZ3MnS7N6PFvpdBaqQvoKGeCX0ybJdLl3I
N1jQ4CNiyNUXRW+1qJTiRAHmUW0MrTD31GL6K5SNky9IFK5XfFFpL5OprrJGpEtA/8ys2TludRAo
XTJveeJmNybAqYfL59i5EXG6kH6CdHcxwz2ezBSZgFgu3UY6oYARVSfmH+jPZtdQ7WfHBGuJT0Zl
wF4fYuimV+6AoD2rElo2gsjWPVTt/FYBPbtytpwLha+ZpZkQpYB5r87Ldgjg9uc5oRRtEcoeYlvN
0/eo1KYryeG5ycN/mC2gw97ToXYdrUSV0x4fjQoMp6XFu1qQ60YwHXdv/kTLNcPVyOTBJ1hhnZvQ
oVkbIwaQSRBCmt1g1lTm7pW9fGbWSKiXeh4xUDpcRUGIH2Jjg9bzIHuSSw6qXTm6yWMAl/375QGd
DcVxYXEHUItem7Q6Bl5aYkEsWKoL9m2Kr1MKhcOnJHKFcXDmA5nUQ/8Tafn5q6OiKKFuzRMMJs/u
n12nMHeFgfvV5eEsN+PRFeORdPCi5Pzj3KWWfBxEb0eVlwv4T7dL7UFBLvuUm0N5i/adBTh2GMfD
5YC6cS7iwqQA268TdbXCZ5Ul2aCIaCHFRONQj7ZjgWlD4PW0i7D/iW5QkULJO5beAZMO4x8xibtG
4rQHKjZ9uvzrnJtkPqT9wgHQqd0fjx/kOeqTyJcgw4r1tUDkBom94u/bg0DcQ2MA4hjrZnWr2WqY
46aSJY1RpHH8aUjwbGg0xOGu7INzX3Oxh+aQ9zg/cIM6WjIge8AgTizOIilQeYlMXAOR6dNlf1O0
mDm/fViuTS/CdTChYpsfR+vGxh7zvkQopJXBfdojQFtxim7/iygUPKCEcW/Z68K2kzm1OYWciEmT
1w+0G/PdKM34Sjn2zDpg2nhEcSLyodYzB1FJgMKPljzVid5ng4dofSyjt5aKaDRpi2wRtxaPKXP5
fq+2tDv3ArcN1j4C5fm7fMKapQoQ5bw8Y6eVjiUMjSjp0Evh5bY6OXJ7LiUC7WAIuiB+EJOL57rK
7soFc2xrPX6S8qkSWoDfuxPcU+++s72qunK/LF9/dbKwv4HpUBODzLNOBGYw/F4bZiQCdm/ou3aM
muKjNUqtf5DdMIChHLwsvq17z7hWpj2zDXgN0PQDKyhJs1bbQJSR1Locff4pRzzJjzQbwYoqfjCt
0PK7JuDvyzN+bvUsrbiFQk2LbH1rd+iGLI7LnGmLiBhI8RrNRMR8L0dZfu3jGdX5pFTIWEFYPa+f
A9Scw7F2+Kx2hI4A4Lrydipm59YKvOjKEjqdQUK5sEp5ezuGtn5QwZeytVoyg0h/YeM1lZlyEXmP
9C8eyMY/0ZAPwZXRLef+enTsvKXSyPEFYfJ4b0QpOEeEwtAzLXKxtTwln1U3zL9U52RbXS+MX5RB
xns0hcqbHEjtj8uTe7pcdZMCCvQ+upw6p9pxeDTMtbAf4BkA3gm3me38wUH5hywoUGHtBBDLupZV
ni6aJSKPVrppVFnN5eevDoNmiBN0E/HeKYTBo1V13Q1bpbjyJU8eHJ5uWdRv2Qgw3Gh8HEcxkhbJ
iBK1mxoI1uJYE8ffFBp61rauAuujSvs5RtMoomaE8AoQ+8vTembNSojbPGHBCXKyrr4qPGEnLZy+
xNwB/RiJvmrre4EefS6bGmvhy8HOHHy0SngqO7ZOHYU3wfFgTQPR9qHFemGym4+ci+lnPQBn2lt1
BmykieQn/Bh4KuOjtrgZBgHGDKJp1JcIEdlrVPEzM08/FjCAS3q9oBOOfxkja7DTBXK4SRWiN9TP
21+DTT5faKO3yaYgfde4z/jRR2++ypgE2uhUzgAGQNQ/jqsBhJGqYiXLCb1hvw0Dcz54vY67yuXp
PvdteXgBdjB5TuprkYW8KDAU7LBEC5su+ILsm+nsMAIP7kFcdc7h7cE8ylZUIMFymd5qNlvLMCLR
QqaZqazfVbAM3g+FI7a9XQ6fL4c6c/jZS4iFoeTQ7DOPJ1APLDk5qOVv8HoM/iStPn1xW6c/pGgl
3dDQjL5ejndmHqnRA2+RVAQgNa+esZkl4rybSs710nFxXKGBWcOXAyn49gYmtwYtZ65Ehka1eLU2
YntB27VJuYFhWePfO3a4wsu5MG91nOiK7eWBnTlTXXIqaznlAPy+tCdenXDJWNhZ2MF400G4+kEZ
NaCwFY0/hKAa4w8wx147KO6aKy+nc3EpNxISL1zAJKu1AqlEzwzTIe5QUMEZUWd+jw0vgFNkQr8M
pVU+uH0kriR3Zz4jAAVSAERUKNtpy89fjbZ3eitvRchR11IlCAp2eZUqXDudxr5SyjmzQt1FzwUE
EFVj0E/HoWZoyw5OeuUmaGaEjzrw4pONilxXB5CzilBcKbScGxrP6qV9Qr2Yx+JxPEgKoRpduKhl
gwC3IWZjCwWqBCseZ1cOlWUFrtIAVOlRnWEOGdi6YGDZymjDCVirFsbZe1iU8zaxZLS/vDLPRuHe
lQYASlKp1W2v5bA/EFwtNyrJQDUGKGzDvRveXAvTXZoYZKIUcRf+/PG0NRGtN3uqiJLJ0fFBtmXT
jZXQV9si1qRd4+qfWxVUqJZ3DEmFteaVa9ps17guLQuw/dS382NeYlFuk09tHJWoKx/qXDRqfAuE
ijIx77rjwVVFk9hmxeau0ae8K+La3MNLdm61cazu0aTrrlwAZz4ZJzKVaJhOxFxrg6SOUQ0j6LPN
gCI1fdlIM2CslXpwLYs4s9gJsRTGqNFamOUeD2ysLNQBAYMjodU7+YJiX6zm8GkAUB7Uny4vxDOz
yCTSmgSk4Hm0p4+DBSNk1zZ0IVx6kSy2/Drqd1FbOPoESMiBUe1xibsc8szpyI1NtZScBEjk+tqe
4U+jGQ7LN+ljHA0XA0CEBqnUYhRuBfWIY4A+bC/HPDenJNVyKUEvdaZlGl6djVGbiCoX8EqdJrsz
6CbustxEys0yrhXYr0VaRv8qkl0BCwMVhIZt18b9LUc1LqvFlPaYaUH3vaYfcW4ynaUxuuQm3Cmr
gYGuR2u7gZnZjnN7wNtKfJyxDdwq2aidGL3pzlFx8PXybJ4Nai/HCtuB19IqaJ17gx67Jk4nA5MY
AwX5kk82hgcF6tm2MvdDE1lXYp55nnHwk1UbGq96au7H89q4c9kkZl1gz6r0TRgVd141onUdRMnv
MjfzHzLX6q0UWn1roEt95bA5zaWXrhBHKBk1AN/15tesEmuvDFx454z6Y2cggJJFNUKygereza5Y
KE6qeSeq5srNd3rqLMuVnUIeTUFhfR2hIuGhV1EUm8AAOERLI8ROKzEeL3/Q01OAVycqQaBeFxG2
9f3aO8ViIo1WIQl19COEkhFt2xL9wL0VjOWPFpmEn5cjnk7o8s6lpAYb3aAtuzp3IsQLIg2l0Q2O
XxCAVFzIj1434/JR01bZS7OA4VyEWr/BwSu5hlo4F/0li4fZ6Sx59vFi6tHhjHWLNFSrqiiDcM/G
pHZfwv7whgxhm7gI8KSrRq1KbygW638vj/70kDC5QwCE05YwDSqlx/FtOhKkyRwSxpiat/z5mVYW
oheR6+7fHIkSKZUhWjkvBfbjSLwdDG/OuCVxvnSKbTG7AxJCKT195CMXnYDL4U53qck6AjC7wN04
GFYT20AgTtAa5zoxMvWHC2SbDgkes9ju7tq2KA9hjrZBNcDLTCbTer4c/XSzEJ1SOoBnDemptR5Z
29l22jVEBzmW3CNPqm1kUhhv3pJLFJdGP90eIKar5xI7xAWlPZAhDsK7SybrPUQgcftfDMVFQBDA
Ng+INa6mAesnQKUxkcNcfQSUHqBzoWn9NSzYmZ2PYoVBqRJtxkXV6nh90D+V+QCBDydPS249WP/I
WuSYDnvOeAcRTrw5JQXuqb0IHkFZOEGENaExlWr5RGjjmztcVTJcE/phl4ej9fHyFJ5biyAvkY9c
Cpbg0o+HlicxhOx44s53huZWS5TlU0zItwY+NbdVU2t3in77I0JSFabKUXVlK5w5Y0jjmFKqTgDi
19hgiRk30A+S72BEjXejqCh+tNzMoY45OvVnwxCy3yBVqz5bMb6GVwZ/ekWTYcGVoNlDBRy5xOPB
Y9ZQIZKE+os+l9p3dguOEIXBZkT9O8Q2JQJm+AR1S/4XBw6BwRfwkTl21rX/No4xmOp5BEy6anzB
b3jbu3P0TXe69Eruutru7DwPRI+OxJTGGU5mdzzGoIem6lkTRg5DI7e6mzUHveyTKyfouqj3bxiX
8wyTNQ7t1TqCLZRrsWnGCwP6pvXwa+nDWexKHMp9ZTfae/qJWIyZ4mMwBuNe0e18DLr2jcv55NdY
PeasShtakls4rwsvd5ROfSAxHA6lk+PA4s345JlIwOQU/CRgxt3lzbS6sV6iA/ADsaJTSaWCczzX
SMGXceJ0CG6EYXcnlT3ttLDr92WMSc/lUOc+6+tQy75+nUGjEz7JHBOVzoMh25qZuzXGprzyWVcH
38uAEKnlk5LN8fBZbRCB9pREuALP67h2hjsNFGzgYzqe1rfIG3vaJ6dqgzdmc0tQkPTsRshMGuns
Kok1Jwt+b4lUw4CQ9DsJvGm7VK6uJKtnhuZQz0MpSYeP46xT5Q6ySCAoMMFcnNz8vtMzM71p4RIb
N/DCGjhADmaUV0pCqwPnZWi0LhekFrF5jBx/NdyAAgTCcHZBtSIJaABXXTyjTN8MqC+kIyaMfov6
04B2PfqkV0Z8smTo57P2QSsAtuesXV3Jdd86lggKy5eqDW+0Oph8G+DrlSirEx3+MqBhFBjpoPLs
Qd/yeIhdFkNgKQ143AiN9D5U4/JDokYknOxRIFjPbZ0XVbFHDC28cpyfbD9CoxS64OEM2inW6qjz
klIL0gThF3ydI/2jIatePcct2m7WBoxL017pRp2Lx77gzieXA66+2oMoIGZGICrDn1Kr32TYIm7h
F2L12831le1+JhS1e48SPgAn9uFqaHjaRih9ewjD8OrYBaqY0eVoJUcapneXT5ZVRrB8QFAQtNj5
40gup+MPmKS2QrIL+a2pwUg3wrr3III59w1Y609tT48/GLrET/LRfBhMOVz5iCf7cglPa4SkDuQO
K/U4vCE8jxw4MnwWKcaUMwqMll1TmNbQ11PI6jxeHu7prjDJsJhWFg/5or76iFU4pii9cawZWWrd
pFnR4/QStVcm9XRUR1GM1a5ATcETCsdbn46+42Mrh+vUCPJOjzAZ6U155Zw5F47q7ALOhkjB+I4n
USLfVuGDgN6QU+EUvK+seoojTJQyVL1x0bMmo9hNbRZb+7fP5ou+OTVVuiTmajYjSo1g+A3sEt3S
/h6ltDERcXp6axBotYCiqejQAWLHH48uQwoENQB8ISaG893TSsj6Y1FdqcCdLgwIEJpNBY6XDLn4
ag6RJwnCIfEwqjPo+kg3LlGhi/Xbt46FKEuNiJYohal1aaopzSFCHCbZVpZBZgbldR9rzbX1cHp8
oJcCgAooHLRQ7tbjGaNUH0ymcpOt6LEWjyKN6w3tz5sxoFl/eUAnV9yCaCKnWlRTIQutr7i6XFi2
cZxuFVSx33Pa5Z+lDNVeJXLcNm4p7kKKqFfW+7nxgYQw6d8CC4D6ejy+emaCQ8UsJnGkaBkDZW8M
9AlHoQ9XdvK5UOwo7hfeK9RFVstCZhHGww7LYpjN9sOiWeCXvat/twAYvnkzLew9MEhU1Jey3mqd
a7OKp6pz0201zOXBa7J/atO+Bj04/V6sB9oR4P6Xa3N93jYmlmQWzFYWoDN96cp5xlXdih7gvTYY
yVbZu2IW9bXe2OnmOo66OicCeyqhbKHEaSJ+eNNXcXsom964ubwWT3MRmppU0Lg2oaDT3zxeFnKc
kI1AXHIr3C7+mGOtiPLYWPi5VRn3eJwGOZYjgXljRW3w83LocwPkEuNla5ADAbQ+Dj3OTSXEOPIe
su1xa3dG+pC22rVK0tkoFLXp7lPthbB2HEUmHXDbQMZbx+j7vVmVKRgy/Vpd93TJ86bhIDQXiQZ6
ccZxlNLBq1hvMUHSujnoDuVQNcZ+Tuo0v1E5NgNXjsRlWb9qLjIMwkFIQamBVxSvyeNwfVhYSqEu
vQ1mJJ7CVM2PhYyzbVIvtSqv670ry+TMFqDqBwRnqZuTHq++VdRaluidIdm6DtlG2+r0rByc1W94
qLR7TNbch95pmnx3eYmcmVbOY0A3RMUvQlt9vFYsyZdCqDPk8tnLIplvg7ijpIt0I7Zbl4OdmVSS
f5uWHBuPV9VqUj28uRGrUcm2aduwhH5G6odyJWggP8bMKLrBqjbO33wsU2i0waFxwaFHsZZjtxwU
cJquy1GxsXSf2lLw2R5aJIzNsv99eXxndgKNK7Y5hWLauWsEVds5dAEiFG3B0Tt+r/fSz9B9/G+C
UImmzgEVbP0c1vQqBM+HvzMA6GGH75G2LQZvvnKDnqwLyidcY/T9qNksQNfj9T/yeKO5mGAsmQr1
iNG1h6RePRyiSbe/Xh7QyQHJepdLQ4wsETrPGt2G5FG9gKvVFmVX83MAMguPjnmC5Ipzba15W27u
wY18a6hU+iMZkJG/skRooZ58Ot5PQCVJkBckCGT64/HynEshfaYK9UQthQeOx3RmZB/7bG6QDLVz
q0HoE3fHGXFu+JNNgmSdm2toseu07gKF06mm5/qnOUct7WecgsWwbofMRZI5cgoqFF+xwE6K5MYR
fSP+FHkiAtcXsRbgYRqnfZEmO6S20azCvqnoFd5jPe3e5NB6SW1+RjvTE6WPRO2w/PtoVuZ3RHXz
9h+9RSrx62zMtonZmVPnf1RqtZ1vLJrPuwSJJMSdEr1NEFSrkvhOcxI7oTmW9HiBI3lEg7zowjpx
9ljEFR3qqLhmeRs6bG79TssWtYTEjDL3mfKOYd3bcCm1P14D9+lLyoMQReESWpSOE33mIQfX4yeN
8XfbI/R8V9VJ3vp0bovhkz4JG7pk2SYB2pk0yVNs41uv/jJaZp18qEspzJvM8wIKhIyllN+xpO7M
eWuqYXTkDTpSuPLtEMtD79jH8tuznJs6asRwaHOgVlj3IFUY7fQpdiHT5p5Cdw9XuEDbllFgTk9l
h+rcn6wqbCM+tEjSfFUNz9l+m9VlJd6Dl8UgsI29GbBzp6PjG8m+4Ve1QZZ801Hwg9RqopU9f6rs
CkyrFyIdsRsbTbV+58gseWwWHZp8K0zReV9lMDnNj6rDb7TzKTIV3aemTCi6bvoCBTgcEkSAdWxk
Gu34hGBkm/KKCOcOL4Ms0YSFM7dRd/NXe3Sy8Ess3V6JPQoCQ49zd9d30SMGblXfoyRH1vY4DE6J
g0iLu8OU+EtXlhw7nuyx/Fo7MPZ5d2FB3T4juzYEI9Z1chaPbmOG2W+LG9tAtVygPIf37FAnaJAm
vSa7T6UdafKvMc+4iFOUblSk+ehROgkSg/8r2D91qqzbbYipLTYpr/X5866yXZxXX0vwg5eIJu6W
U9191WFD0CBG/aK4byRFLUP/X5n92J2N4O+/AvtJYDfQFjD807VvrjXNDZx1a5zr3n8tlD8YlTV/
+Vci3wva4jPs1jHbIhv+Hy18V2vxru3LeNLeIef7H9H7TIAeabevJOxRYbat5zZxu3mPRiMnkP+v
TD1UIj0UN+cE6nNtQqZh46TaDESkSERRa/cmsmuV5y8tcMQmoxYx536nRS5lQLRYU3oB952Ayen5
OsJ/8x8ZCbpY2yBqQAFt9HLSSmsPRAjVvU2jowqubxJtLobvICwFspewyoPiwTBCAUoVnR9gyZup
dMP0p1T1WMW+E2qz9mRHFeIJsHamAGfXuQUi0204YGX3O0/wjIs2SMt5dYeWXto3zZ2jZ8pq36dY
bWb1bd1mUdUdanQeQ/yueRRgG1CZdiAfCjOx8w7tojgqotuW0zoBI617LYJ8aNhI37CEqFJ84AZU
mG9nE+eJ4UuAh2LXPRWpqVIPNXnPGfQvNWKY7HHoZ5hoLz1J4bwb23kcMUgf5sbYVeFsobbuTZ2+
a5oJWaCthxVi/TFP1KRuFHoecQKisF20PD1pDKi85wY9j32bTPY/bRWjAKtraaP9cGKjKT8jMq8p
UH+AlQAeQiQt/xgmZ/LG6MkW/GGM+/5esysn+DzxQO6etbass0OWhbZx37joUfkcX9ovp80ROIq7
qbqtA8TwBxnoiEQMKkQ4FPuVd3ZgRB9wb873RualH+irVfR7csdr5GcXxdl0R7mpHg1kdaMy+mBX
/QB5tzKVJb4ZJrXv34wpNr8hQNdQFuiE8A78WrQcdFQWJx8cQmYegFtr2X2DF6nc2gNpup8mnqG+
mZ3hCgSlUTCuHoRMvewJ5ehMPWD2IYOPKEuO0wPnXfVtxq8geg7xNgx+O3Ps5o9JKlznsVXa7H0D
C6TKfVOK2EGhveqnA7nqhGLlWAAa3SmRB39Lr9Hrj8BW43w/hjgC/2LJlqy5QAfu8ljbRlH88QIr
sSEW4ola7cq5r82/sdVTnd6IsjZY1awRbXyUJor130QxtfanYprVfBeJxILaj1V7lj4HodtqxY01
NHbj7DVZh6N+M/JQCEZ/Htyk/qd3p0H726eWQv83anWrE37TCsv4ZdRIB2KdgeGhPaP8rfVN5qOE
FGLf5XlRLOFqlNGCSq0jU42Nb0+FKv46Xa6hLYjRd7Pw70Oj9X5iJaZVzw7CjTEZQ8lCjzYgw2Yb
L4FywpF50+ld3iKWH7pjfXDdPoODTt9DvYuFHMwNQBkkg3BK4DwHetB033NwofUGDlXcbYxET3U/
BQcCxlIvBY2ksYyBFWlpbLnPuDdZ+XMwiPxPWFSImioLn2yqwZX+rAuI477JWjR9NJvr/HeDp80T
AC9ubC/XovHRLobxJmR/BQ9pZGJNwumjvrk6jV8u2D793gDqecqmMvmDrVqb31TlaD5Ww2A/QjxF
f3a5Fr6Hrl7jZq039l0xqKj7RKbgUpKOpJcjRo+4xQFBk6DdYbhrjb5ZerW8mRsNWAtw3/y51B0+
1jSL27qeNJwtkiDSNlGF4oEPEA85AqmyLNknWHc+8LpBAL3Ks/knvt2xd1u1hrJ2VdQMQLDbFsNi
pad72510a29pRXjg8YFqSDWllQaoLVDRtsqLUvN7QOPbmu5Fd0BGuf9ugsXMfBVwx/gy7fkoqA+j
DNSDam19ZCW79LaJeywYLFRXsx1qceghY3s99Nt4Es14FyJ7gcNVUjg3aV5jnwAbBp1KTXANYUFC
KL8rDZw3C70LLL/WSxul89H4fySdx5ajyhJFvyjXgiRxU0BSeW97wqqqrsYk3iZ8/du6b3xNtyTI
jDhx4mxjY7LL8ieOO/kOPrVZIgmY+lWVfvbqZib9lzPZebQH4k/4RoSA9120zJEsf7B4H9ozDDkM
xjNJZqo676ZLa6Mf23YnTVyqsewuTcuOznF2JmleNZvmfULIK0GapTuujIEISD0RDlqrQ7oFVhsD
2+nuz78DSvim2yWe0lTKmBql9RO1U4vgS9xqLpHSrxegELP8Cle3vs6I8TQJzuaCz2CZyTnBsujZ
Kt+L8k/LT1PExVqJo8Pmt8vftsFS5Lpdg+2v1jKm2amPJYQOSbgp738Ez7jJI6e0s7dBA5u7UBlh
qJFPpYIFowxCMnTtqrvXFZT0oy9LMm3Ccfamo9OOFiP9cNch8bMjQej5grMXRIidE/RJXIJ72Oe6
e1r9sXafa9jrdrx6opyi2vgd0bN5b8ytC62NVesMWGrcZKtvJy2/Z3fX75a8aLOydi9bpwJzUpPa
SnXpz+QjO2wGwfPxJw6zkYzY6tjAJ7qXWKvabyA3G7RUzsyo92AUJHnW8791tB/qwxIuVHyeX7gZ
TvHGvw7hHKoTNW4gZoLEG/2rd8esvx7BKx911XGflHlROEkzwqg/Tntm8VlAQsdUS4roxxW7x1Vq
BvdNutsYXDUpewBx7izZ0+5njRV1OO+vzZJSXC7rCrBo2btQJl6rMhMTPAV2OMhN8bD1Uv4ZVZjf
FGSbq2iyCOnnMAzLIm7ShYNx3W31Okhr+yNanYaRWACuPMl5IrLAxeJQf+ihX9DG9DjNzR2vJaAR
/PDcfF5aWOIhp6592WdBtIvVyuK6tV2YEWR78+9BtddZArcucC74qdzluM/5OvKoNuHTwrpJeQDA
NqVRxow6vyhW0XtHjVVHRwtrTP4xnVLk4F2kNXm/rbE/1CrOhii2OcsjIuR4CJ0FN2gKT+W0y+VM
HHazrD4J6unuPS+dNeoCHybMmM2cXUw2fA2onhXJ+mJg3xUUcCGrhPnRYl/2/mSzISboWXi/vAJ+
PWgsU140gG+6a2oVujbNz1IS7xfy/7HKmRzt0SjW4Vlgyd8Z69e/Ek7R37xr17/Ev+RfIJOqmwas
fHF06NIf9nLWL00qKpNYPFAfMxSd8WRpp3kZtLA4M2t7d46+8Qjq96w0FIlLQeGcPNvY+tKp6vGF
Obub7TH9Pt0b2DrnaWDHbjuwgdQl5NN73AWCWyvGxks+VlqpoKAYbGhQl8rxHpjKE06xs8wUHvHo
W8NR+INvXssmDPTlpDTl8LRY/mGvFu6haCwaZzp05NUVQOtF/llmbM5HmNas+oWE3XVMlrpPnRNH
cXuLiSJlxdfZgT/4c+hFai/JCsBIEf6zBmn+WZMI/43KpbNdSthw8WzNLkPLYOQ+w2BHgLyya0lg
Nu05vpdzYKSx6/5rXVc2XbLcqXU0hjusDsenB5pCW1Mii+E1SP32u2424Vw5bKefbMsLihg5e+jJ
4kAFPrK5ojvQCinekzzv7belTRdel3bP/nhNt955u0q/wmkTj7Mj58dQhKs+dVQ82Ccnl61iv2bo
dCjKsj+uqh6LQ2gTjA5Iqthu174y1rFSq/n2iSQljFts00/pkJNA0kvjeElqpA+HflgIstfZ/jVa
CmI8w53GXCx6dL7hE0AdDAHafHUcHvvBn4PyVpbS+gfYY72DEdrxKPWj97VkVfmSu6RksNJYjVez
l1EiuQxTFqALUi0XFSbcLYE5UP8zvSW+IZyWkvNt256BsRDLMrZ7ld+XRa8Ym9ZL82tX47DFK6nr
+gDcvapwblbztagNYcwO6K5/mafSP5vTZY8zV/iDB87tM5/cANwO39oPEO3h2tS9Ta3f8JtHZLAY
O660oA4E4n1e21UjtgVLbeRq02/Od+FAGx6VRk90VVt+bhMCt3iwZW1I27YKF0XeJtHouIzbMkdl
X7j+icml/elN2vXIJxnFvRpcXnfJ2qWPUEUPD03G8CYr3/gILGfKONMmsYWH1TGscGhj2itwYo46
rpLG/iBB2M3RpKbp5Jd811E41ZMXt7M8A7pGn4cMQpG6T/sgf8N5Ub2sckYHovGbx8jpwt6KUhIY
PPAqgXnSVeb+Lm1Y3a5jMWZXJheOOoQBRcxxMHUwxZqMcuTy1M4u7d6vpqMxYfjCnd4WyeIWzXXJ
hvd0ScC696ddHHFrSrG7RzvI8/eMgnW+8rMhfMrDdCOcfdTsGKCxuGm85X1/CGzj64veVg05+apT
fwPQL5iAmrS6Vjt0OLXO3RQP7ngmR8hNrNHGL3MiON5ajwtcpo80M5u54bRw62MotSRjP5jWuMcy
QTnbZTR3KR/+jC8Ltw+abufF1U72rAcWfaNi6l0J8oMaIJF6s/5VRVlfs+53PsJRr7zjsBSdH7NF
Mz1Ah4CXwU9o8wXsqxfvrGXdk+vmmDjvdg8QciC8HjwGYC/C7JV16S4rHzNkCYIsyHr1/Yj3Wf0w
4UtfrU6N7wo7/R/GBNs1XByoVVNehe/BurR/UQKrh2Hu6u/S3Z3Llo85xEzJaX8NUyLSMvD844Nb
w/TSacYq4M+dN54okU7rIbWcRUa2Snu+Wc4MdBDpjk8V4R40+xJXBKen3z+AewOdQpBvaV93m3D/
LNvo3vpeOXxVhVbvjs8IDepyNX3rkeSpyFTon/FYw03h2CsrGQ3zGHwxYaZInvMwu9nd3pwRf3Z7
S2q0VbBaZeabbs4oUix7tpMt9auWta5eeNFG3/EpsGZ9BoWn+HvLjpUQjBvtSXUleKNtGQwtEGul
NP970fanFL7HbRqcE6g9RrFT1OcSYN4IeGs+UDVtTazGvYSmlqYPcvZWgHD0R3tcZ+eqrVdLe9F4
7UIWbuf5bZw5LOxfBcM2fMllUy/eHirObrE3j20zBe9u5tjbZagz/dJNZfszYbG+JT6i3aCrFSEg
KlIwPiyDkBpJbmCW/4vefoIBwRWQ5kRncsR6/qNpLP99djpaOVzE6i1fFq6Otd3Y+vEGbaqrCfbX
dTXSJFP7Ou2cANYVH/DuiKajZ0hpSANFmNNI1XJT7800Rp2q+iXiFfe+hVgrWEL9SvhRSUccV5nW
941DP4EOxEz5BP2yvBl2ghJOqQjty2DU/m9Wq+YK/zpVTLVQYtigSl5Qlv0+wYacrpAJRJAngdth
oK8QxIjLZG/+tmDY9LNWU+gd4XPLo+stVPQN6KsilsMwflr9Gj54mPvw2jdEkkTarSEOheQ/XjPK
bF0oPLp4zmo9dXE3NbIilHWh9goIjnKiCVTI8xwKf43rtXMgvSjb3Kgg20Kuwql4Ckji9aO6A05+
dILZPvIbdzuVG6vOtRzFJ+Yi1t1ZepdjAlJovIGj0K0XYHLHF1+sQ35FciSXY05ZnYPYNeIizC2z
nCDQ+ADW3YAtdTfjkFGIZVcpNJP7EYRoeNhNrq+BRA4uDZi7OVEotvG+WD1utcbPGGNW89BcFD6D
ogMEsPzDTbv9qw+N1Sf8hvpmNpOENbCOPNwV+Kf3SejuO6wrlcGh2tofhgzbbemvU57QMzd3k9lE
9WARxTBlT2GHCJyY1pmIgE/nYvi0gQNSdhSzmu9UKjMvCZqg3771LqwxavTEWyACKJqRRalOZzg6
2jmdDQCsOBdD+OO5xQDCcxj39XNNZ/sZ2GJ7sS1WzouzL/MHKJ7wB45dlR8Du2neCE9X73MryiFe
HVF/WgW3bmTRcb/uAGsIXvLC9mgPHk9p6M1rdRDjHAYHM6ddcTGgdY+RbJS932RVSM0Cm7B79tSI
vAjHnGQABwG7gjOmAxMRV9qaQxCUrUbmcOpnbQhOID59B5tphtx8TqqkDJW+3fiHuuIvk7RLzx9t
gt4fE2vfzC3Fc08vu1VbH9coesWB7Xz4Pj0zoS+xLV6Q/VT7WVLYrL5/BG0WBAdJXA/Fxtpvawxt
tEGZ8ufJisVmdlBlWwcgsGWm/U9uvkX0L79DIS/ccO3+9OlM0inEzd6J0Zhpa7b/8xWF13ZXo5Ki
IqbTgSVGwgDH0TB0eR03++4+zOWqbxZLrE1ioD1B7Nix7cW5GQiSz4epW49SUmPggMmwAdddPWgG
NKZ5KodZWvzrS3tnOyV121buVn3cUX1V7AEtfKwrXAOwbecOxU3X/h2xdI4fTZ03/2UhHqgrYojV
JR4/c5fUgwBmNXRh9rBsBONECCXaOi24dtfENSR0okMDWeHRkeq2StPxiaFKTW+/tY19Pr6rr8Ko
mWOaDDf+8+JMWhapvbzIXYX3HWgoc8KuXz6MTWbLxCUj4nEKCXAk03si9b3xVsm4ys5nKgFrlLY4
ziGS0VudQ11LQKsvIPPapthvtdK0ai7XIJSOaXbNodvhjycCxmx1XQyBfTF03bREHfP/l5ynasJZ
Az4XrUK1GYdxwQtV4JXJ4D2NmkbUc7PTnDnBnhBO3DHKTMspiwKCx9PYm1PzBYZtsk45Xeolmqpz
3/qr9y+H/jxzbmXTFo88QH7kVtVuHfWe6T0ZoAi9rC6gqsi2i20kG0NVPkOYwq/jru4wfG9kY5kA
04WzQ2m5xw+r71Yy1NyYOe3aU+2vwS1DouEVOFFtMfBHCiHPdgWjG9jwf/CDQGyMt3TEP2oX3E2V
rapv2Ek7oqQK9Qu0PLcDzS7CLRb0Bw+hKamc2C4a8gju3o7OvFX6MnUke72TYb4auSQzNIlP5TrE
MzO+ml9yb2kAjHKH2C079RwCyNkjm6XLJ0Y+NhJGb88UQjNUx0kHzKQ2f+oe5oKSNyGTW1/WOqfG
WDKx9Mmy5su3TDerot5bu5sSPJB9KadUvAy7ch7x/sJxdKc0RGG1mmE4gL4cb/fWRQDLM3d6/W/I
ANww7H7lPJh70aTTm0jbvoKk15e/rqO5TrvF7N/rJoZ7Z2vy374lwoPmwEnvu63xOILSVr4tlSKz
d0F9uvBlK38AYSqoaYpnjLnoPiezaYY/fiMQ5vd9IXFrDvKKlWSiXMhrK90D95y6Z4I2PtGq7l3s
ZO72gUla/GmYTHCRhbkZo2q2RXlLYils5Qwu13O3BfmG338HfdBJf/gdLDJbqNa9X0GQoxXTjAZ3
Uq5g37fBjK/C1FTW+TRbt1V5PmlMnqePDdfnFK+TvVwzHGH7FiOzL6K0GG3v1ri78hjN1NWjsTfq
Xf7I5l4a8MtRv3DfBf4CDHbwPeupD5qyvx5TXxoGTPXiJpkPKQwlgxiYi7lXRGW5JKy4CdTQ7R/f
0PmwotTUcYec+mavOWKpnum2Ilche2REk7gXXII2unadMgiXe93CaiRp4Bg2crvh2HMa2g/K+8gL
RPsvFbVScWPynlZ4cdqn0oTjGjMvL8ZjqBpCX6Qp7MeBEsSKPVw+DyPl/8BxEOQMn1gfmdmMN9ZA
kZ0ZEuCBLi6R5qxjPWkp/O1SsRH4G7hlqaLanlUd85BsH8tcipfMLiEGbdswfDU6Ra1doJboaDZL
9+ART/ozcPPcozTbD2T2tvKhxwufItnVGvzGeUJsysYe3lOUP+sEynd+qAGg1depN+07ZHKTeUeW
EQFUl+IcenzOGz7U40gt7wQFEOIJJnIRY7HNvxuNNssS5UBDKwbIZZDydP4g2YadD8O0wJRKR0b8
Bisf3+8mKSqGyvIeta11z1edUSu0uEG/Lc1g+tCMHMXxVhqe2ADc57/JsSCkbvMyXneBx5UDmGi0
Y39xzRc6uK/iERPyySP6Nr8sFPb48zVHJmbXtQ7lX5uh2xFDI9MYWXf/KM1if266CmyAm1pcs/Te
/nr+ivBM0DOBqyUj4Pe58hc/qqyaGb6b+f1lPQr+z/Ww9JS0ALPcuNcBQOEJrQr16zxPQIVn56pR
I20WwfHWD9oJsnjDobbEmvGhvNmG2nqthOrlQQDHKeK1qIKzjpwyjPdz9N+ELLn2Sa/O9m1wcn3y
gaC00GxUIIzZDvFi1S/jdFrJT79C8LFA2PEIPVMtNVWSOamw4jbYhXPa7Mn5tNymeMOlmv+Z0WY/
ifO08xN8+Pqth1r2O+xtbiKKHgvNn9ncdweH7daEQb8OB3cJ7R+M490eybQkBAAahdKXlq7W92bP
BvdK5k06JBNuEB5kFjv/8T6aHvWwZ05cLNVGiYfzpj94kLTPwMxCXY+kTTBuMo36TZ0aJcBugxQm
3eqtR7/YcRMWs2sJOoZWjNlt5pY1n5nJgIgNz+t2bOfZqeKa3+6qsVuLWTILmb+6W6fHrtkpaiEg
p268IVc7B7dxTRl3VuVY13taDWlEMJH7KaRhItRkgZyOJQ3sE4hju4tDV4jtshhy+YIdlmQAy86p
Dfz2zCybbNSZ7FwHRFmadvdV43QVh/vaPAsQnopbGuJHtNud/2iNgDiPK0jmP35HdRQXDWJ1VInM
5T6TVfcy9cb9y84F+kyj59aPhqlh+eJDkWRo3zrbJvcbPahCQKVLUZuWzPXv8ep2Ogm4h3dG7UHP
oSTcmfW6hXSIYwbApTqlVe+X15LjA+U57yf7ABSpeIHyuSH3uKsoDi2+JIWcJ5GVu8nbY7nNuIdt
ves39rqgWdfkWYARgyGReI3cp4grkhnHzE3zOxKiqxImPvaVt9YpLNMm9K48HQiDoL+a55yv8q3b
oWlGpgyL9syFVqD4cgm4UTRt3x2RhLKHMT/nc1SrZ78JK5/f2ffg9WvmFAPKVndmTHIVjArMW4cV
A8yuvBxL3r8vfAIckAqkfNJJh8NWU2bxcjYSTJ5dIDEQboI5ktzEkSa28PoJNlBtO6dqIveN28BP
D8rQRERKb+GxWSZR3rgbjLUoMJYpomwhmSiuGgTVi2CDeta5ff7ecKTkfAn+fNnalERJgAdKPe1A
xW82ZbXFDdWZd7N2lt+c3KVZith1a0w1VA6oNba92ENSL1IgwOwZD0/uuu3nss18kN4psseapuvd
0BOw4iNaAg72oEtfdZCBmrf33fdjhH/GAIx6h+uuo0w51mjqOq66bZhZn3WGO3te2x9RCbe4NtJz
L9i+nn+8pXIPlszn/g7pnpnXxFLkxqHUg8Vd6uLvxmz1t0J9fVOdh3Ui7Uj0iR2dUb1NPaV5Uiyd
up+we+AQYwZLjtKyGUYOC3zYTRJDTujmOnz5ZcshOOeo5dwkkz/EpS5GforV59Gfgq5RUZOP6i3E
evSVQ7x/s3o/mKNaNuarISTaTkqAu4/UEzsOlZ6/vB/Ur0rNw5s2rQVqcq3tkh0ofCc4x9RA0bJl
XUHkkdfs9G77CHKUABikBhLkkbk6fwgiezbqy7Un9epY/vyoBA1qNAbL+COtrKEeoQnqkpSx5mXN
B6SkS2fnuqAk9eKqWMYWzwq51YR9OgTTLh0mC179ujtxF+bfvlrdiXhpQKzkPPWFlyjIkUWS8gXa
MbZcgOmsxOg6LqRTYFsmM4z5eYdhKzqfySyt8AOraAArddMEyJ1M5HT3RsBU9VebZWhx4e/VfVNR
eR62JesYazHerZOwXJQ5mpKxdm+8uo83Xys+WcqW6GFPuWCYjQfmTwee+IuGgD3uohb7i7Q3i60V
0a8vKtvKJ7ktNqKRvTKF4/pouxi/BpPpKpja+2VK+zvgtc7r0NDpPyI7OSrucV792dis+4TCXD+P
nqbExgFe4gkrUuctd7eWDfytcO4EY+78om2y/itf2rMDkR5ERysxbtNpthotogUOeYEPai4ZJzFM
fPE8TC1lTsxltPbN9LuwcPHHowXNqDcc3k+HIoFqghkXfGxvLaa4H/fs1Z5szEQdE50zVSNnXOGC
DpY8E8RPR/Ms7UfjrOaxBk7WIV2q8gtHHU3INi1/Dc5iMLvj+SkeR1W0F3unm4+WgTAPdFiZIhYI
A+BEZweeLKITUtTu6fw2n7oG4rmSA/fwyn907HM15+A9csTxyhJbdaHqFOPQmJnpEe4lFovybLSP
lFrzDT/aLD7ozat7x0Xq5psvxX03TNkD6zSE56Z2oy6lPaEBD2eLEi+cC43e1u0cJD6i2huiYvdp
Zat0D75VocsuQ2Hf4ZlsvJi9EoQr+jWPqXRp+1vMOYt5g9KredxmEDGJ6IFRUrkzSk54BdjyyHDs
fYjc6Uzi5Jt1sQJtrzjDM/MVdG764lLF8D15Yv62nZ0pPwvxBZgZ291o1MWav9lp4aZXRLKu901P
YsyRV4GDDWsed2XrAt1jArv0GZW7M6A31Z3HVbG1w41QnC2RP2WTTqZK9XskvA1ceyiXp0UG0/ei
JjVc2GSGXDcVo3gqtzZlLKncL3S8lePPH7KL1mHDHi22aE/W2uPsMUp013zUEWuDL/M83li5+i14
fvgTyHA/jlbt/QNoWnkHMSzN1/l4oEtj5kGWN5XEpZ9CFo8r5qWffbDC6S5yJ2u4oUSAPINGcVcN
LBdgj/HSu92vIPrtCHF4EfK9XZIwhXpLSaSKq91tULC7FJ86Agbuj2MvNn2nw5bLs+7rVfL4DM4V
2OHiDHS22ooeytNP1mTKn7Xd/T9g0FcMmbljvY97T1PkVqTuKJPjtsmkxY5hNlspZbm3OO88heUN
Vvwfk45VHztNR7XnF9Tn/h5IEiGbyrooZYefyewMOTmwyz4/lAEle7QIOlEAwWrFbBSu8hJTTh4c
SLqDzeQ1wvlqMMNxWjlcw2WzWBf52PNKIPyHD6PsnIcOBbpJ0tVZP3vJrcnDp9Zv2YAbikpdetfL
iPcrasK2eFs3xmVoUqt7yw72yhO+SCs/zBj7BrKhOqjjta+ZYniDbV3xwwEVVtqIFx2aDCPb2YDY
uhCHTku/FBy4afM5sET6sTpje9dYhXEuyqqzjo0wkzpxuPY69qd2yhWuCSRBcEDoCdVypRvmn/Z5
koinLoh8NkqXCxO6NfOGuvBGTiCJ2AsohUUHsvIZby+O5n3iR0gHfEyT6zH4WIJbvRYQzUYHefyW
pTLUg8Zoz4ctM+DPRZZAreDeyKfD0vmVc4QUhKRdzs7w0ZZy/V0b7iASuZg4J+W09c9+aIvqBqNv
cV1yWtSxv567KmbM/CWwyxRZ5FN7fZBDKq7ZWmSM7e9r+aVytf4y4+NPHfSowwTdqgruB1UjCEM4
3OkHyL9l6toE7vDOHlznXuduW7xiOpgmCq6lm7HMFALPiGGVRcdDhwPrIkNSG29Ypx1vF4zmcxwg
d+0XEBK7Ir9n1mrkCw6L/ZvCa8EPb3yVjm9TplkFOQxEcPmXglH+Fynf64fJHDOfmMkHbRLSFeOx
mAXpkPTXiNuZv4vPkEg0YrsCL7zLZw0l2GHKQXHdts8jY3yMVVZhfQvsEU2yF9pND5hDQqxRtKZ1
okY8Qky6zy+AmjfCCmUTLH0ccKd4VNg+TjMmfeHL1PbB4z47q8WwcudjsqHcn3Darrf7Mu7Ibzsn
Q8JgZH7KME3PzIds3aNpBvqtIB7BSeYW1DiatLEoMnW9oRWPLkfOYGua/gBjiI1lbJomfCki14wY
BI8N81tiHHW3++lFj7ZcEFJEgRu3lmRkyAiu8Y7EjnVkMxGlFhxR7jV3kyMZzUFaLsmMG3ba5WZY
JEMrYK3PFI/rcshJUL0iTMZGYbEaIWiORx7f1VikKvRlvaWR3jjemSMi+FySCk4zjeHEx9u1l/aX
q6Vmf7ghRpO01UWbpHYW9RdgNWegKKDRRMKp0WjDEg9wNHNYPw1VX71iTHS6A129eVuyvM4vBYU3
s42icx79TJKwZeyOJ3LymslmamjbtyvFzVdfLsEzccEh5iNoRemhCndWOndHTndDUMg/eSt9NylL
Y13ubtZ290PYDo/r1rgW3o0AB3t7Lu3r1NFDrKwZVxgVuWDzuvHG9yav6HNLYkE55DFxpgnKuHrk
OGCGxI4ZllynqYTA/CbmB46pfYlBp+NxBPA+Hdf+v3tATeEStVY73XI0MifGR5R+sIlRXWwkq5oE
wwPjQWw+/efGftyY9Bje+iu4KdY/+OSBc7IEGl+MTGBzlYC/3hIOFxEc7NWh/ST9fPpbZ3JcKah1
9kbG7vK45cPCDdN52Vc/bdu/zMdmd9RDqL9DLunh4PFiMYnoy6Angqb08YVulJwxTzzDbpUL3hu2
GCj8aL31Dxp989V2frFGNtHwb0xx0WjWcdpu23YNv8h+wc3DxNjtmQLsJZZlRwR/q7Levwt6Kz6V
XeFpm2t/UXFZlO50Hue58OMLv/pTkO0KuMfeWbdXKHVMPYvzTse4hJhFm3avMZ9YFj9+xtjualw3
OUWWL1eX90CJHJdRmQ2HoAuxXXO3gFQKMrVnMQPZ/g7ymLUlvuVZN27WABso7LVqT9SP+r1vOZUp
4rAezbLj6MfwWP9gNy0f2Gud8BkWshYHHOHpw8T5lMeU+TZtWtHOzxKv+GvH7ObF9ZgjKG7Hm7qt
nKeyclTz2JfrTNROWCzbhQwW8zzm40gM6j44xAB11ZSettYpn+bOGVGe1o2llc3aURupXQhN3WWg
gwNdkvAOhWppF83Ye0MiJ96aQzYVhvMxXIfmslFGzqzjrioI0VZdzgfXmfjHOes8P12xdyIma60l
0aC0t/I7aDFOnIjIWNLbhR4HQ5efLk8G39yvojXgp7bPYS5Nhtaeqhw72YYDBnvDZFXf62DSl5RK
/y+hUGeZdTOr4iCgBjywiuN8sg+C0wNCu/rsC8NFPkx2eOqrVTNlZUOovjD4O5/oVTrAxqUcsc+7
LAet9t7b8VixiRhpKasKhwkiCbR11mSoI33/AW2aatNlK+C6HLDfJQWIyYDhwcz1hLnGeZNbX3yb
AGdvXFU+VS7bf0Mf91aQPjSlwmdE5U+Ry9g118fWqb1nUUuMPDOhIQ+jsKc97oN0XiPW33Azdb7V
vmi/2P4Es2c/ewy0rIOd7pZI8jBkOAEbKitiPdSUppVwmkc7mIIn6I3tpyVGF8NS22Yy5jxEPoQO
19ywkgb3fuU5+CJPHsMndtz6cmDxajnY5L5PMX8f6yVl5/lq39cWjwgC6t9RF9mnRE3DUdubumAS
yyMWSacWG07B5ey7xOCGOQAL/HvabLlKcCTtjOH9oDvhsOe/dPDWtdx7TN8ojrHkR7NDTtohGyb/
bipdYTiqK9tF+yvLj6HTxUuY6vCBsSGKy5qmuzgLXKaNAk9IC4iHotzfONm+KBpoNSQuy2hqWXaI
WKxKv70cqeI4hn2pkg0vRIjPa9qu1O7VZF1Y5xumtPqqOKglR5atcHQ4B7sO/Ptz3+lyqMz75diO
2RCn84K2R36TvBmXXb1mmlMsIuCygEBEW3IMho5yhvDm4d/Kwt9N0deTTJbBYl5eBGwV8E3zQMbu
1GdVtOyb+GABkd/YbESiB8VuvzjGJ6qlx3cpkcYo0aJVt5LFG92Ej5NOdzeiWc8pGlLb5oWwpHhd
C2d/TYtltjGEn3VmwuDmL1WOTh/vKzpMvEOgSM+5ghsDNzSjh3rrMoF9lrY62hzfvmVdbLgLwgzD
sW/XVPaZ8idgUWG3Gk56xvNy3Bj17kav6RGjqMouKnsMH0WTk6IRhkzsr51lZZrBOHxMUo79kRUL
7vpLWapQROMES3lqBkEvOjF2P9CsNiVriGXbPsrNxhaAZ2xkiSa1mHexIzcfepNvXTJYxlZxsLMC
HRtrnr8WZxXrYZ0HuzyGeah5p/LQo9LCgLpjn8uyMrGRBIu/JkOYOcy7sJe4blmApzDbNJaLsJfF
FfljYX27LkXw4Ba66hNn2SvWtFo8dves/DDUntlT4MvonfqvrRt7PG75nppkM0hWxyynME5svsUh
2TnEqS3K/3F2ZtuRI8eW/RWteocu5uGuKz0AiJEMBqfMYvIFKwcm5nnG7/Sn9I/1BkvdygBjRXRK
JalyIOnh7ubm5mbHzqFKxcImhSCRFZK9x7A0iCVKpC8EgJ4dQcjIWX1LsgFB9ZC+j8e8GWF4mWUA
DggiNC9gZlWKkHmtH0qNurOjTGMBtNgsIrgYVU8CeYvnsgUKKXeSJwF5GcikgsTrgWW7Cf1DP3Kv
GD/liRQdVVDp4gwYJHdMNtbgIZoXP02v4/FHXpdcIdlDIq5Io2DTGIn4SsTXNw5PlIwQtKvMo1Qo
pbTxVHN69YVePNBi2ok3NJMpP3pNUubkTAI8Ey0hf0diOJioj4rZkeYCRQLDr7QBZXYEDhxAQJwo
Y4jEhwDRg9jJVZEN60RRe27rirJy2eqUd2Oxtnaj4Df9pme/nyZu8GGrks3YRWRPHhqlI4cEx1l7
CyCCWzIHfXJHdMB1kYh13tlTTRJjY4ZlRQJLppvgiZxkQgiSdzJ4qSw2H/Q0BwzLdeMfywQksd2x
yn+CUO+O80MPKI6Y0A8mCHl9T5+k9z0uyCA7nTLwwlAHMwEmgqTKFysYOcx+EYwG+KyEdEUaQay7
gg1P/Z6QbIMZVi6C50DNGl6+olV+gWdIT0iyZcl3XyorUBBeTEqJbu6kAJOeFc9SDgIAJwv+QtXg
PLbDGlFyl1M8vlqjPnXE8QpYkJ5UrQYKh7ARnLSaPKohvQwOVSj9m2ZWxgN3UK2sc8+nzo3pViux
8StC/KpQCmf2zuNajkjurKKhIY2tmRPAyMBMjzMGdXSDoRwORC5ZrW99KtrjKlAls4RarhQOdcet
uY3zXNmZ5ERk24Rgnid8PhTSsaYZ8EflidNRp1u0sXuAFe22mci/3dN75sFtKhg5axOoWr5Cxasx
bqdGT4rPvAuEz4JFYpQyUCGCz9cjotymL6QvSTapIjEgz6Pvlh91gs3zC4yiJ9E0tSlKUON/GqiG
WpRcrEzDSSikxsDZ+iThAQCF4yfQpR16GxatS2uloJfHztsRLdrLHdczl8Cv5AaIB0D9CV2DCMkZ
WchFc3cijZpVAvyhIKzKr0Kbe3Ybl+3GiPvhXhASyF4Fz2frmtZN4lbaXB5+2fA9D49WK+34JjS2
VMFOe63pYa0aYCupTesVz6EEKHO7FUEJKrDaFkdqFJY9aap/Uw0JsODLgy9VxRCYY3RZFKk6KvrM
n3I6OjphukbpLrNjjyt3VUkeBylFFnAV86oIgTWRRfPpzKZ+HvKiokd0FWegTQhiSHiXevNy5RMt
e8+Xn2hBsQLg2SurlO3wcxU/TAnTjXxLdgiVPpeEwjgeauEV3WirpOk1+L3McZNlZADk3gcaPpJy
AE9iXVmpJQXA+8dCxHBmvZWUD8xi5YCHblWexFnqk26ld84H2JGQjYzrXM/dy6uw5IaYR5sZPoyZ
3RRMzIImpejVDJl3kCDAgc1vamgowONolyIsHLThG0K/8hUSnXNmCOWepGuzDUragvoCgGSdxzV1
eNoB5XsdmAlhrgQWtxGHHeg5a1Nk9G7niv578g+zxKEO0lifLZDxpYUFmjkdiOBfKPdBhEfLFenf
sPiUqtwFOzJBlLYvL+3HiZ6Ot7CvURdoTCkKGg8zsedF24+HkXFvwGMoYMXLxi3Nsny0tMRfXx75
o2UzMuQzGqTGBnpU8yf7hSCyHrVcClUsG4Ukce+DbeXiLfLf5Gp5X09EAjEbOjJI4pyOwtChYpWc
aKWXmr02Q9/MVNpTlO+fDPDWV+zm47mAfRv3QfWYgiC7eTqcqVqelQpYatVwmzWkhh0yjn/SXCNt
Ly/fxzOhwrNhoEZOuQd+33l5f1k+Wrmqagi5G7xSLndEMPRi0T4cOgA86UquSOdekV0/O6ICEdMs
DKjARXc6osQLu0xbznwRCP13byTRZTXRnEmsgvgetkbzCs/IOQtBOgFKH7i6RCToTgfsUYRQqdzi
jauW94o1FXXhFkbdZf+BKSJBBCe8pKrs2mKgEDA5EQVrOZVGCda5scAcDeWVUc6tH3TlEuApVFDA
xC+mY4DTjQNGaUAI6LQWWtM2CuRqNZBjpYJPLuyyiZwzRku0QA8QluHNFidMzyvNH83ZRKTOeugz
iEGcwfcNYdUmBDVXPMmSpGg+aZZiiKyiCmvEUqYkt9qEGJjO40ry068hBT3woTHQlam4NetsliQW
mu7z5SmecV9cDJCQSfhKlJ7l0zWdPHNSNECiNpwCdHRKhrepR/KtShqty8QzyUIo6kZVADxeme6Z
3YQElmoznEw4F3URqHRymAdmyUmvvdb8ItN4HXEXS90WsbJ27dMfvbo81TOnYQ7IkGZRJK6kpWup
e6sBY5dQywIe6mowW65bQbmmSn5mFw0ZRjddgqUI6ufFtKCr8aNsPnOeHEsDqPe4jjZKXUviWspE
0MhhJI5HCfxvcMWhnR2Zi4AWNsQC4Us/3UoP3P/QoAZmR2bLO5pmGM/1as4GSZJa+oZvB+za08rp
XRn4zDFhPJHoArJr8G3zB/vFk1a0vBt0mLKwcTHs60zsVjDBCg8WGZQrHu3MHKH/UxAw4ajMcuGn
Q5WJKE+9ltKdT++fK1RAywatovE2pID0UABTfokl6xpf8ZkJWjM3PPpBGhkUcbGnNEzDwdxxSEIJ
Ah2xAo5Ea4u38UW6FH7bSC0wHxYqG8jeQIJ5OsGIpnPySUzQgxDItRpwTH2pXeN7+3gUZsUFEZFV
DcY3fUkJKHYmKh4lOjACBALHuI/B8wVRdyUUOzPKzI3HP3hPKPQX7rOlXyXNNItitAFGtJAyDbRO
oP/2sSaK5sjJcCjKIuxnpys2iEE3EL4DsgA0kh4ryHVyN6+E5tr5OjMdHLMEm73IJYclnA5ERUn1
M/Kn9tTDTBqmcuUAWLzCOPzRK75LisKXhUQ84c9iNjIBSz9kJDmZbrzHeYbjKqzBfxQDXf8rOqyL
8cvvmhxkvIg1AlHXZmmVhd8IgXWTPyBiVpSCJ1tgFutiHAb38ihnJmaY+EVV5HLTeeedrl4Pf6tf
xSVPcaukZJgExi1iMvXaNNrAKQb/mjjP+fF4AiBkSny3ZMXvZLE1DPI6QBCEmvofcqJUVz2fTptI
jPKHdqiU75eneMZAmCIyZtwycP5/eHrDj0/XCgs5BllI525OdSFvpt+3dzh5SIxpyux1rQXRsFXr
9LjTdGC3iejdmwMNT3UUj1fUKz/GBaSiNK4Sg7uSlvjF2fX0ALqpmT5TQdoOpDasLHTN9E9A9q2N
1Zv04Mb+QAmvbtLN5WU8s3OEW/AFamgVSuRSTi2lC8WwLBEssXNd9V9oAdJeaM1T63WSQ9th6zGQ
ovXlIT9eKwhTsJRzJYfbc3lpB72cWT0q2ranZNNGA5X1mghUJG8Fmef5vUcHr2TnZUA+9/LAZ0zG
hNbT5ACanL8l1yy6lwSw8A3aHWxVd5GmpnZdFP1vx7FMz4L3UqbhCsrvxf2VFwO9/CbALysxsw19
jR4kb0JmcBSSJNWuGOg50+FqJhs4ryigudP9axUkscCp8i41h3ADtxfYuiQUYKX3jOgAH+F40Eja
bRSC6+ffX06DZURtxMR8tNm0folEjJDcta9roP8BM91LcD6tcjgVr7xRzxmoIfMmJobUeKouYmY4
nwoFxnmQyXps2DWAhVdlgNUT/G25pU+k3v4Hs+IpDdEtzx5c9emsJuhUcloEsU41L0KXLvdCB+YF
SdYVazw7MV75c/DB/5uLtz7MVMBCYWiAwcWjhwBlYAomdW4NyTZONbF+nOj8uZYJOzPoLJLCu4fF
5ApfXAyTDEy5mOizGVFso0ZFC9cIDj6H18ZPU/fyUn6M5DAOXqga71RuBWXhW9I+pssWWh1aohqa
i5xwGsrkhd4voxzoEB97+dqr7l0X5TQfPEum8LIyWVeih8XuDakV+DqlCdvi2KWrsGvEQz/AIGaF
Tbb1TEpHUljWmwBkJBqAAuUp2x8NCoJpq7dXTPeMv7EgPsGlKzq+fRleBj3ITNShcrA1lb9CSBcI
nw9T/OVVPj/nX4aZt+GXcxjpTdKJHuo33jQNul21M7kWUpGq5qSK1Ry1NBB2Yk99zUxgrC0SStEQ
l5uo8kTiFZ2qc/bFjv8lrIBnWJzWHDI5z1CZsg923FFBq74pVRkDCRP9fVfzRrs8+XNLTPKbu4Sb
cxZ1O527qk9oU2i8hgxNKeFdo4PIGNP+yqzOGbKBkLgEOb7CXs6z/mWFQQarydDyToBCr/ziRT51
xFL2vyK8fS0UODsh3lwzQznYXnGxgLAjAxCQCDgqRMRdrwIRSKEmuBJwnB2FphIcD7kP/PfphOhr
8goZ2VRkgv3QXENTpLYuLy06oC/vz7mVQ76Hq5XEO8mHRRhfEdybNLUykNCIawFkumvknfFQ0DH8
9J8MBfGzNQfWaICfzimth7qxBDapGJriaHpNQIXTBMYLmqiPPv0Hg6F2RQqOEFtavsKhswlghybg
7SjArNu2QfgShLjbNUm6vjzUub0iROMChI6ZG34xLzBMql6npG4URUsfoLIw73SzM6/4qvmnLB0n
JMnGnB7ihlhyMWdJp4/hhN1lNbhJuwUrusM59p8DMlTroqXb5/K0zlkGyT4giqCVqGEtrj+loWk8
1SmdwaeVOdFEe1wVIRJGXB9c2ayPcyNbomIUXHxkMpZz61XJSmow1XM3dbUJvPIhN6s9UDl9K1Zh
d2ViZ0Yz4V1GPgHNlxludmqHfasIqI1TXtd6Qd/7qSU8I+1E647UTvdQ9HlX4s2P9kFmXUI4hzhC
ptN1cZZDUQewL+Q0tVNj/1JI00jOTe4fL2/X2VFQOeQYk8qg5nk6K0Ho9GGCnQlEGwysaudXd0A4
r2kqnVm7ORai0MLjgKTz/Pe/OFrS9XRHmeDqs27s7iXJmyETdP3u1bTX/5RLL/n529PCBEkyybDV
U+FZTEvRkyr0A54EMIwRrKfyjzAzflOjmsQC7wEVt4RD5/JYhpSyANlENnU873IFFt0a7hiyy2rm
AMWgQU1kz66c5o+7hV/XkN/kTUmIuSwIll1BB05ngedLyvbWmCLvILa90v+2d6elQjRQLjfw7rK5
8O5mCt4HAEgMM0aTr9I4fZtmqFmlR9dksD5MSFckXuCGyBNZRr18cahg+q2EVqQRUSrH8EuaC8Uq
boLfzs8zCk9TwolZLIEJnZofQFDQ3gZ0wxVtuKUdZyZUOP3Yx8qhawtge1FtAaKjT57DD9NlebVO
dm6es9vgRY4HoeJ4+gkSXjpzwy/opSoBKxNWSnCrhlr6u/c/18msscXFzM2MazwdRoQevlXnNB5t
YaZrKf1bBsh4e/lszbH2yZVCxnOWC5lr4db839NBqjCrq6bWX1t6hItceNDDbSoa61ySbRRvCHBo
+kKv4YpNfsguzKPSbERaV50JgxZ7CJYQtt5Bfx3avRWYt2m3knPPSfTInaaXyxNcDkXuWKT6gEgO
GVc6oBfOI4RXYgIaSlewPvh3sJ14Ttun3Y0A3/pK1OlTI7MXrC4PurSQ90Gp8VPTlAkxlqm9CNYh
rc+HwIa/I36gPyBZTeZoupdHWd7Of41iEvMqyiystzhvFKF96ICZWkCbUw+oRJhTsbAoOfSVXwNM
nBlsFguhD42KNxIZC69f5TkyZdqMRgw8xuoL85ELjRtzaLzfNHzmdTLUwvA13fOMqWQoehN7mhhS
bwO5yu+GbPMoZH7QxiCvhidZ+MW2lQKQ97Az4mS0TU/VmGLbZKwv79FHS6A6SxcEfopsE/mR0/NF
x8EUaTrNiV5YFLxi6wCGxeR3PS+Vn5NRFqeYBwmcAAOPRwhBPRverC9iLH25PJOPBkA6AmpWxDnm
apOx2JUhERrZn6BSQ7RI/yEN8DkkNOjOvBLGNamkd9P91S0RYDAYKQKqJdSXlgp1PRwJ6thRxaKK
DosMMaNAs7ZR31ZCWt4Bvs3Xjd62W8hfZWcII3kHS25yxTd+2DveyGieSKC3zLmHczHjtIRhPQ2M
FyukA6CEZtEZ9PhaNHV2EBAerCkVG11cDgLtCzTC/pd4LFNrpZSKts/QqrM2v7V7MyJG5SFECYWB
0D9Z+Io2SQYr0IfeRgwvALlcmJ/gTaGFVI2CK2+8xYz+GoooF6lWatjIGZ6avOIZYZwR3Np6SvN3
zQTdNhGka05CPB2Hgi7FLZZNVdggbsllcYE/kgQpkB5udsf1ceuu17a9vjms1667Pjj8/uDy/67r
2Ft+5R5u1jt7x9ccDvx277r83dbd83erPb/kq9e73dHd8rcHvnnHlzrOjp+23tj8SH78/CXrnO/f
Pa+Pux0/zebH2av5r9e7tfPKl/ARbGf+E37Nb1a27WydLePytfzE+82RH3/juvyoV/5kt7JXK37i
i3uwd7tne7dy+J7VauWsHMeZv2zF9/Pz5h/m3PKLAzPhEz3Ow2+2zv7zaj9/6Wq/s1fOnePya2a9
3eRM3uHTrVfbW8dZ7w7r+YPy2TZ856PzlZ+65Uv3d0/b7dO8TCzU/N3u4ZDa87BPDn982QbfE5f/
PtUfdmxZqEmjqlaBLT0c1sfX3fqZSa2cr8527zxdGek92XNppIVzb+oqkRtsY+0+vHw7+vbRXn25
c0T7yjjKfGwujbOILuqyLuhfZhy26GX3+Mg+O6w3W7K9Obg3jnOl2r/II35cwsWL3JOaMoJJ/eHg
vj5jLezT5T0C4XJlSvOx++V5Bz6b/iPYkQ4PN+ub2aDXh/d/+Pfxdc3ZOGKrh9fD+vVwLG0OzuH1
lb20bzcY1u5xs9tsNqvN5ta+w8L2zs0Wc/5ye/tujre2c7dlvzl5HAvXebhxbM7nav/g3Nxgffvt
FRd+1RDmW+2X2agikpYR6+W+uM+cG1bsmlW/h/uXbGDh76DaoYmRIW7Wr0d/xbHkuB/nA8+yPfKf
nb3hV/Op9m1muP+5hcvT/ulut9ufvf3wdM1E3ivilz7Q8kppTCVKZ6M87p6Pa+fndhfa6816XvTD
Gh/nPh1mN8nGsBErGx/ozL91j+tn93n3eHBfcnzbxn65+bbmBzCV48bePN93LJ+LF3ncbbC71R47
L+zV3dfI3j+x1a4r2+4DBvFq2Z9Wd3iStWtv3dUDfmh/mB3MZVN9fyBfmucitopzYVAkLBWHfbBf
8Lmdzef+slnbj395ZqaHE71x3Js1H2KF3738CZT3OOTSR1gEXhPUhmM/L/UL7v3AKhxmv3Z4co+u
c7Pb4a23r5wWnDUen1tis1qVuNf1mjXn6tnOt4D7wuasX93d8YjDxm6Oj75t/4kVrdkTbonVnlP4
gtfe2+++bLfZHXePbzvffnucf+i35+NraD9P9jff3uHs8EPHR3779oY14vO3zt0TPpZ/P2yfVk/b
nw4uf/tkP3OLDLbt2xuO6p+3d3d/3u23q0+7/fbH0wM3hfPAdeCsVk+u/fWWi2j7cOM+cUTt1X5/
i8/eb1l6l1V9X2Zm/pPl5nJlRO6W7YF7+XDjbFd3HPX3L/z8xB/PTuHJvXl4ecEQnR9XduSy9yJy
Oz3vyCrlgsEVwy15w/+w3c3B5crj6NuOu//rknOu2AFSdRedJmJ2p8PGnWF0OcMyJstxOHL+OWrz
qPPtXdqcIvvbfNfjLjkXO5svxDusH+dbmY1m4/nVI9+ws+8ICNb8av7e3W5zx7+3Tyyau3ce3gMb
lnU935qcqDtO7u49XNju9xzI2dTXsw0e17M7DewtJsTy463XLv74Zt5Gd/tyINJxt0eX77m8AfPt
8O8Dob8HfyBy3mNMlMmXANEpz2H3zAIaoAMZYlyIam4VcbqGo1p2Vfw1DKCPWROZKoK22GboDDtg
TQLdjZ1WbaOhHG8h923vtNbXNgF1DBruBw1+DNrq+xhtO/hrWn+nQafnEGlfe38t3kbvH0cHoTG/
jMhTfigTm5kMszEMXvk4JHatxsnNAMvUOoRy4HB5gd/h+ssVpntBJp4HU0nK8tTUVDVFkWMkvA6i
6rml5xpGU2UzefEWJYmtllevbdi/thKqhqr3lGntywAwcCQZVzbxDrmga+Wj2c0uPhD5FZM8iyXT
3bAEcdP5ClmKiXKRKFWW8pZCyx/vsxrw2T2U5lm8jsMplR+h6g2/TyEiIVdA5GcWX9d1RQRBDo4V
TuTTBfGqSW5hZe9sEPtIK+h57tLWVbhlECVXDvoZ6z4ZahFNlNIoB+NsdkGjC7sYg7glR9heicHO
j2LxdKLBYE5RnE6ogm3EyxLOUDv5wVq2BmFdyFCAXjaks6OQ7ZZAZoEN0Rd2ZCF+lcCIix3lUfQK
WU19J3SC/nh5lHPGAQKXI0HZCkjdIjgCB+sXXQrZTRxK0aZLCZdp1JX8la/6za1YQLYlt0WxV7qo
+/T7Q5syBgGOW/54UGC8yaQ+hfFBoWZ6GCSt/4pclbCDgUe7TyH7hdFW1+95kl9r2fi4tPQzkgYH
RU6OE5dwuoFCD+JGqCJo1Uy1PERxlm8Dq74Ggvm4tCbALLZONEXy7ksYRSCWnS4W6WjDlvAo6trX
TjWfvUnfdxDrQaXfbA21uhJczqHj6VmnUCxD4kT1W6ZzahFa0hbeUw3JRghB4JB6sQr0WraFpIS6
A/N/EUClXftgY2BOjz5f3s7Tm32+WUyJdAIwU1AxIJ0XQ4Nppsc/ZmhTp09OGbxolRdBuUKCkh7U
prpWEDo3VRWcCg1TgGlJZ5xu4ihNnurL0BTWPSxU8pBGfya+761pf4vgnDCKLRIR12SZP/qyGaUF
cpxuHyxnCWIIkICGrwbaa3gmBScWc8GN1dpaF9CeupfX8+xQlFLg5oBimhv7dH7w507IaMP9B6Fz
L3OBiLG48qwwS9dSNEn69vJwH84EUshgXHUVk50hlIsbWxigtDE1GmO1AUo1oYJ2tIjRs708ygcj
mRsIGWJGZmgo1c9n5pfnnuXxgp6gBoW/ODXrFbF5lLmJHmg/aNk3oagtInV9ecgP67gYcrmOCbwM
JkJTDgwchSup8VtkSI2blkl3ZXIflvC9OxLkKdEVcEJ9cS8E0xiIMFWGjj+W7Q4KudShZTu7Yhcf
R6HcBDgS/BlXKpI6p0sI2XsXGSXkMVZca6sy6CaINPVpc3nVlqeL2IVTxbnCymUTgvjTUWiYl5Di
BIDcep74OFgdWpZ+uxsVo7PRhRweu3y8kjH8MCQrRj557qabm+mWqfhEMpRBqelvDetKcgdkZTTH
yhvhXoLw8miZzUwjPDaryxOdt/9Xj0mtkvQkTTbvZ5qc5OlEk6FvOzFGn7NZh3br9Kt8oxxk91rF
aZEY0nEap+Ms7hyixVYvE8Yp3NfPmYskmv1jf//18mTe08SXZqOczmbQ6wBCBkaRN+A8bSTWVtId
7HsusnSOtgIRZd9U9h5VI3v88/LYy5rAhxnOhvvr2a7iRK1mpVNhqzq9Q2+i/d04GPvfvVeXKzkf
+F/GGZIMmq6McdQHb1PCdvSZPrO9d8Uulrf3cpTF9QJLUpQI82ymNZJtDnzOTuYUV87yh3fScpT5
TPwyFyWsJDWa9+tQrr7FzvObtvn6+emaoLk0b/sls1i4XfrLklEKGaZc0Q3kQAtlf4YD/Tg5xido
1XdXLGG25UvDLVyuhZA47oPheucbXPz298ze/3SePl8Z5ozD+PXoLmsmaZ3VBgzt86wgJnWo4TlI
OTqmq7tfN19q9xMUjtc27Iq7WPalk7orrGAes3N52HHAwtWfk/39011g39fuV94EdmBHVy6Wa/u3
7HlU4E6Tk3n/RufbtBY3CJWu6nVwF+48O9m09pWFPc2af/BV8sKLxCrUFrA+zJMMnJR/VBsidtLz
1+x/eTcvzH+JpFYFFCIDAGX23Ghodx4dqnnV7rvYuDana7aycBqmEdVmNh80U3tpvW2IhEUho0Gb
xTDEXcMBLtKOHxdw4TwiU5A1eGD/WsDkiHyWa6yR5nU+hW7oklUeccSi/fPaLBfp9I8DL/xJ76dI
PJUMrDzJ+/pzflfulW/ePVVg1FCKr+Nztg+Pyr32fMViri3vwsH4zRDq+WwxCjYDIRb22W2J8hzP
Npxila1813RMR7/ipD8kW5YGtPA0o5zFST0fDHBh63Aruc+pQ2LVswuWN1/L9tV7/JwDAKdFb+VM
YkB73anHrmMzzcTZZMsVEpicD8W1iBxUx7pJHZSVH+p7hEY21Ua9tXZXVvmcX/117MUqQ/M3JuBW
iFXcfqV/TtbBul+Pbryud/L2Ws7s3JYC8wBLQq8DWMXFgyBCPyQaq6K2K0R5RAlSFFhD1fGtzSo3
mh4uT23pCObCGX1MMsBIei/Bkp6uqt6Eshck6uQISqOsoa1E7EKqQqRvx+mKC1cXlxND0XAD/pLW
cNOArvR0qMSU9UHuEDT1IA+6ya0so01LSa740OXqzaOoAIt4DcwkJsu8iiqN6DHVsFA2kKUc4QI3
9lWX1I44yukxKtL0Ex3m0v1vryIZHJ5VBO1g0/TZfn6JJnL4q6q6QEIbHfBiBV0+PlVt0gdUhJJr
tji7sF/veCbIG47EDf2RGl3xi3OASGI1WYYwOkbWZZYDJVn9CU5eqC0rLVfi50TqGnj4U6PobQAH
tWBDWZ3eJ9HofdaarMnhdeq6blemuvwAyLdE+rEKC9MuROQsL6/Lh+AbKByQJTAIoMwtBUjR6cKo
aJtljWGgLS51HVJwQuKPeEOkBAJ3qHWPBhZd64ZojfB897UCEPbdry3fdCVAW9M6KhT9GvHQMr6c
P5KCfYA6goEfecnTjyTAnRmKUjE4KF/F6D8oso1GWPoFPIYGkWzRmfuxkLl2w2644jU/HjaFTaNr
gHwwGfr3CvMvZgLBvtCPNO06VWO+lmBqPzVwQh4hQr/WvHNmpLnBWQcdSVYBiPXpJP16ViK25AmW
40gH4UoLupuPESTuwIfeLm/yx3NNCpOcF2xOtNCKS6Skb4hDmsMw6hgwFK6aakB3s/SvvFE/PHLY
NsguFDplwPVxBcwz/mXtfIoTSjS1neMJgWcPCL3bUeorNgaV7sN2yldG4iUrWYzUAyDL5E1LR+mK
B/t49PgMwKHnJnLQ/8tM2zh1vZ+XnC4TiQ195eee8KTGIq0aVgNF4Q5VCRj2fnt1Zz9G3zUIbIlM
/em8Uy1IlTzx4D+qc4gJRzVep6mhbH9/FHrO5mIBUFAITE5H8fuO2tQYdbDvIbMOQSXiD/ko/vb6
qaLCRCQyazM8aXH04lGJjQa8rhP2RXZI1FpyQwFSwB5SdzdtB2/9u7OaobQ0ulABwXLUhc3Io1gn
k9wg2zOF/j7KhWnnIZV35ZHw0aGYsgaVBpOi5PahFwQyFkp6o1k7hhBmrihCS5ignbMVTU1YmanW
Q9g/1N3OE+p/IeX/6/vw3/5bfv+X26//+T/8/nsOB+eM5l/89p+H8HvF3v9s/mf+tv/3Zaff9M9j
91Y1bfX2t8PXov7bus1+fG3CPFt+z8mPYKR/fRL3a/P15DerrAmb8aF9q8bHt7pNmvfh+MzzV/7/
/uXf3t5/yvNYvP3jj68/UlYnrJsq/N788a+/2v34xx+USObH3n/9OsK//vrua8p3Pv3v/5X/7f5r
m+Rnvu3ta9384w9BVf/+Tp4GOl3B/5Ml/ONv/dv7X2nK32lv5DDPGGjuqblckOVVE/BtkvV30NjA
4eemEZpvZo/NMXv/O1n7+1xWozeUvCO9YeTB/+9HPNm4f2/k37I2vc9DNGX/8QdSkxyxX+51Fc9J
Hz2NlkCjZ9z5IjzqVCXW29AK3Iz72nQqHVLOVY8Wzls8tuanplfiVxjq0GvTopyO5Rr9HhjTpXqA
Njnqv5vR0Ko3VufHZAyRLjpkRh28xgUMr3YnW97B9OEr2cReoEI1rPrC8GpERty6fd3qn9Vg6ruH
SJESa99Svk7ufVilxdsSTYXWjdPYg4uS1qtXas7xkQKdWqylokPqpZSTIDYcOGCl9lufJOKN2Dez
lHhbRLaGdo9iMy8UGGRkemjtbJH3RK4ob1/DSg5Ep5Gt7osYiSFqu3BGm7bfl8N9J/e6bkP4G/3Q
YZH2b7vCgn9RlJEoXfVoCKDsIUr9a5SVdNrHo1+pt6lV0vk8+UOH8JNpjC96N/SINlqBZ9jooHe8
TaCEKWHlgODO8QNepugRpMqbX1TjrZmjF+lIRuRpNrVTSIZJtYrNKpvyWVeiRssUqqpglmjLSYQ5
AgpxE6VIub0NY59OXXieYM4uB6QMPV226BwWZy5dEcbo71lstU9NHYU/m7bt902oRwhHKSLqe4WO
Rpgfi+odrZrVgbChfqg1H5B8S7X7pmnLsHYnL0RmxzOb2HLglu1nvmRJ+uLJkX7nZ0qV2HPryRtV
hiay+zDUTds0aGVxR0SPU2ewUuu5V0bf2tDbat2PdVL4yGXNup2hbMEmHyIFOdNITUKxBpIvfReL
yHj0xj5vIeE1/DuE2ljGIh6nCg5jqOptyGml5IBd49HTGJYiyElNWGF99CCLlRkW6WsMKaJnNzBy
riuKdiWCIlb2XWqr3NtYcZB/51yl3zok2HGSgoysaIle/OewRAbItnIZ/nJJgmq9ayDojJspOaDr
iMWneuh9RnwwglA9G3y2R6jS+wmOKB2dYqPG75ZBsqaAUyPTl5uoeZVhxATFdADPTluf9dMw++Fr
SPszidNIFF+qKezQkYT5zwnVRkvXETx2dquU7D4aC5NJnCgV6VYTJuR0FYhYPTh/Y/STIg+yQI6U
WD3XcgvrbYlqh+MbYcZ72BhEqEcbTaH7ICoSFTJSExkqf1IpIOS6TycVEmTmwwivcoJomCfcIi0W
QH0axPFz2ApRS25GENKV72s1Oh7EQaIb+9PwCJGx+SwoQfuTFtiCqKiNtdtYVvrQzapwgPK26Q10
xMtc/95JQ4ygsN8br2aV1SSiMwWNcTxf8eQbefRZErIY2MggNhJAeTRm3aidsj9RHKmDdSohGORC
s9sHUG9GhoozEGpr5Q3jeOs3syilmk/9p05Q0Y0NhyQEZiBOUrcJIeFA3YqySux4kN6iRSdGDSfE
VKeBFJCYWE4BWe2epRXdXO39g4hwxrGlYPToSRtTu1PzVhvcvPaUx0Y3gsSddBlTlAINshsC4Gid
9fR6dnFL67hJBIPwn+Cp6qqRtPrVgKDe2BtQ4D5APBv+0PsELvcgCkeRvmvYpdeZ78PTKyOd+7OA
LKpx6S4SVlBCopGi0jZSIWnTlPddqCNPigoNSqvEHcVOqPJeQydliOu13yXDc937UQoHs2e8iGEv
Gjc1Tqt3KsW3vmQTugxwjkO8vKrFPqZBq+67Zx93CJG8hZgB8nwj1HtqAM+aLUYwzNt+XCaPfVzT
8oEha91aMJXgAZXCcd+DLoEigMbhbIWiOIo7SaqntyiiTvXOSyh72H3UJIBPCt9CSykrRx6FkvQc
QANc2XWSxcEqlxrlCekVv2DLRwMZDCuJbDmPxkff0tO3QS9wY1JQCZum8aaVSVPLPu5nhY8c3Qo0
I2ozsVaDlkLjHSIobGc+ait2L3Rtv0IFVv2GGK2A/pssxBX8dAPi01xGmoEOlQiPqhrXKKcLRgiV
dphg1zB9htUN4gP00ihVlaNA06W+4RrDhAQPQBs+H9GcmjvS1Pg7PZ9frmgX+W+K0fr6jV+joOd6
SQ25f1P7gUyUjnjVLcE1JLMx3dBfoPGfhlU3jEbhBEUlK6gsICmMm1CF12kIkTXpRaufqCFq6Bz4
yFY/haneBZusz8TnEtIZVH2Q97S2CVTYuYM2md+sjLBA8aCXggTB6KmNkDGPggxRFk0Nb2otQtkm
FyzkB/w6bi1HVTz5i2jmQrnV1AqqKyUrVX8nGumoOL3u9c+mP3OLqz5SExBCDLpqd0onw/pqIpzq
oNyICo7fpsO3KZ4gmPLfqdzEtFU/wVzbphs/b4dvfp3p6bYOtWHaim2Ds1LNCCvL/c4rnlVvpEVf
wTOi/NLBUG0qfqu7+lBar72BbN26Rea4d03Z+D/snUmW3EiWZbeSG4Af9M2wFIB21nc0khMcMxqJ
vhEIAAGwp1pFbayuMrwyjcoIZ4aHZ41i4D4gaQZVQCDy//uvSfQdOQTE9kKiCC4tvFlwaeEwLONG
Tzq5nWF/zRxNa6Gf3KgxbuJcWPI9QQYZ25W+5DMxn0bXhb7kI/pOk76lY6DarbIX1kOrLaxyfy2X
fFeaC2eWHOVi8FR6XodS9Xz0lrwii50jWF0s2i0HzWuQTeTlVc68XJZeSdbCNGryAb4OcCRGcyIs
6MkI3zTJBAzJH8Bmhhwt9bV0vOaalCWxxpZs5nuTnZJkuKFIzF2QWb7cr0VjizBtG0vslVCFf5Ou
zeTGavFPv2og/3pbLhl3PhOVr+0nNfVA9Qb4xTEvKG0OhtJaBgUq0V0cF3wOEOQe+IUSUqo7IfGF
jTyMvcaNxGKtDV2VqjomN974lmCoL06hYjCcinVq0n2R54YTOSkZ67FcUr2NReO2zzKbDRw6tEa7
1CVp76G0VgoAT6VLS++fk2RU4rX/3PZ9khyIJGMtLSB0mKhPIBTIGQd6SZsEjFcfI3OxSwu8Lg4K
Z/iUgqaxs2vdUv18kWK1bx+J4WIZQ8Tw1zsZyLwiUJLMno9Oe0o/I2PpUWWujmW7VGOyK+klD1b5
/UO0vEqHllB5XhT0gS6rI++IPZCzZ0UL+dfBvhO6aV9YuWY8NcFslkdWoAvDi3gpPEI7cjRjXC7d
z5Asi7dyHJo6Uqouxa4YPQziG9zrrG2qVdYnfyZ5MLJIdrmGCd2cTi+93jWDxldoyAq7B15LAnKb
Br4NnQCZ6sk4dM8JeTzDZvVYi9RepCnFLVewQ1s3SUYk+E6Q5KOZn9JVza8FWn+WtL2wf/eALGm0
glq4ZIzYLNK+EbxxBek8PYvfYCE3s84CT4lDxsBkdlhJXotKMVpHJR7K1a/7sClcjeq0Mewn7iu5
WWVlrTHRJs2xVbU3bFxjLj5WcqV+yB2hMzXHGnrAGNq3notcL9wN5uhsZYnMyQnO8zZ1SCZU9sEH
mzHCtF5XMjQhMBGBNHkUlBMi13uPlolNdEwCKlSrfQuEny6xNgz2vU8sCTlfzUiFaKbL/K31ysWL
EtynRJgEQpPkNqbVV0yO8GWh4ej1bSFU9qXrp6HGIXsQeUw29xRVFbkPMZEWNYO6VcpvCKY1Yoe1
qnoO3LnAfSLw+ythnxKUx9Vdb9NCuR/WleCDjQC3JQ7RU8aTyHRT7HnitrlZGnvYLqTA97Gm9WMe
9aXlfEr8hWQrTxh1qA8jh5TLvR3j3CATCcmw1l+w23d1mGQyfdRyzx3uZkGfHpMo3WAkDFnC2g5D
77ibaSqaV8s/ZZWlk/zMeiaLWE6aE5IwradhGqgcNxU81UZupWYTQN/k2RwRQkBmrFCjj4uN0fFJ
VoPKQCSnQAB8YIaVcZhvvxC7gCkBr2byRlZIUIYKt/u7xW+ty1Q4GQm3lV9NO2onYVFDpWWxHbJW
t/eKAMOrfsrGZjuV+vDmWVUbxCotbRsbNlPXKCCAucOpwMWTXTkdP2u5ad/TpS1mVHtihZFmkyu0
K9vTmsC8zGliYssIbZ5HayYMpceZIR4Lu7jwhE8Ot+1O6ksxk2slKy3TtoNHliaNkupJ1+k4Lze9
rno3Ln1dfsajnc3QVvZ436us9XfvGvzfu+f33fIZ5AKgDK4D2Q73DbTgP7lsjmTjTnXL90uJYwfs
5tvfFGIOYg03UfZHWsK66ZqtRU73L6D+8xHj92vDCqXFxXYBHtzZjDYoWj0pi9qCSTU3H2uRWCR7
UYVtuEs9w800J5XFosHyQxIopiXsurQxYkXaZBaphACmXUPubfrQqdW4FM6yfumG0n3TLOznCYZy
qDcNtSbP0h0L8xcI3Bku/P3DI0bGPQkUDgzidGPfoajQ6CqTDDgzxICMZketPu/oaRw7rv0/fyms
s8BMwE+YK53rortKz/oSkzLes4lMJ0Fs1myRYVIGov8FAneCRn6ATk62oSb4DP9hF3GubShKVxjz
qPhWUm8vsqTpdmQgktyjeek9gXlkpamxCIt6ti6V5fzKM+8MFj7dVFAPcE3s+ViS54Jp5N/BMBCT
TvmQ+jtthctnuz1brK5Z9LOt/ouZnf3T12VYB9rIxA4StWucT4DSGe+1xE7YHUp7X1bNFIucfJ0/
fsd+/lY/XuVsqZRwODVRWknYabpHdem2YXUqNowsuJsmy/kFzv2dSvHjQ8SJ44Q/I6On6T5343ca
ve5y302jYbHya6eanbtuaSlAvEYzgTPKzjDnV8NNymSflYaxGwtyp6NSgOCAlq3yme2Luo0ascKr
YW7yKhrlaLZk2LUeiUtDZw4hK5ZcLUHY1+M8r/JRz93kcw5L+1dODsZPTwnMkInFCVB3IDwHZ+Cz
NmWlk+XMuVYk+5QZTbu4GzX55ZVVlcXnbFzFM/y66s1yEnIWEePbdZjpo9WE5Bhq9IpD7RHVmVDG
RHnf269//Hz/zufDVJtxBjp/hjb+6fm/2wqsxRYMDIOUPSlLr5zBEhHgqPGLVXROtDrBmtjFnhBy
g2ksfq4/XoaHVBFpOmVRMC9+fdHnZeFFFjmcMLFFWeohyhhC24AFp9d1mJ2ndjYzpCKVaB5bZ1Av
EIoxOv/j7/7T2j59KFw0MUpEse+fs2FJVoFlk6R55PZfyMsu1qjD0GM/2Dmm/mv9z97p7+xKJN/+
KUYAX5sfbwGVkGdrREyEDhsEpk0kZGGC/yvawE/Pk5EiMLQOWxgbJZy9frxK1mkAOvTZoeW37qes
zD9CRynv//jG/XwR+6QswugCiQ1+XmdbT9UuVebC8Q+XyiLVSG8BUOem+xuZ/t9jjXdjDYMxsPnu
5p8GJz+MNWLZ/Z//3edD+x8PL0zl3882fv/Z32cbpv8b/pRMek88V8Ip3s02bOM3H6nGiZjAyJlh
97vRhvcbzvYYh8MIxyKF8+TdaMNgtEF5SEYD5ynvivfPjDagErP03m3tuDv68IVcHyNxyjbn3Bir
6q16SgJVh6S4+R5BVov7kmvjIHfkXKh+mwc1HiAit0szRHmzXpaGJZyNgtQARMO0g4wxNx2L3cL0
kHafU4KmjNj1R0rE7Kbl/QLnwhbjxs4MXNgcvXOCuBNlfVK2ZcPFsBKuvOET0EusojKxe8LWb9nZ
FbDxR79oupchy3OgL+oZRZBl1h6WBC+3eKHRuJMGlmHhmMr0tbHwKd80nczT0OonrWHizNFDJpo/
X2DOop7on/OUgHo3lZuE7nbZjjJfXjQPR80YW+3WJfktMBeC1WaNUPLWWNe9UzkTMWw40hp7Qs3x
AVxVX5j+Zq7trLwaVdGnO0EwkvlgrqudlhujJBbo8aQqScJs6L3rJljLYOc5STB8nmvX+QotrKi3
GhyMdYxIKTJoQ2i5YBEpbQ6WHZj30kc++Mwns8zsh1rxGzf5ollFqCipa/DTub9Y69J5WJvAL0LD
oPbdjAX6IdB6BzvSfLC8j0mlMTROMP3ZYWvbPuj+WjF7yfSV31MFn1wzr17XxWsWQG2m5bGz9MtE
Cg43lby4zo5OT5BskyxXOOUWU3JK7BjtW1tKEjgBHr+S1Ou+BG5pvvRZUq1IM8ys2w6tBMTN5onJ
DFMNAvGIcZ0+s0OmVuQCkGUhzYg/POadA6ghjLa4Sb3KfMOpKvEiZVtjH+eD2QWRGFwF693qgZc1
XNyG62pyTvWCULa/nTM5fcrMDrMwcwQv3dRmk9/lxkrYjVxwxt8s2qB9GNYl78OCsRgplCr1r70e
3SPVBpwPmlWvuTCryatDVyS0s40YFCmsymNUXFvG56TIVbaxu4GbkPYVYhqtZXGQZ9m1a9gNJkhE
luQKg3e5FHdWUfQ8Br8lTlXqBQ20z3AVRB/Ittp0ThkUW9nkur6tsoFIjqAc+BMLrJOUvrHvwjRt
tCRKPaMQpyaetWgwbls3wm1H8DUx6sGmIl4dd565tEHFDXD5SPNz55NrN3qxI9objFpk2Is2YTtl
XXpo3WkNNpYYxjWcV0XHv7Rq+qbGsSXwcO2NZ6fw+C0YCjvfOonWIi4cJH3kbU7VS4ciAoCxa1hf
KAqH2xbTa1qqMTOvNNhJ3kZl6dpvyCBdWzLD18DdcCf9a5CIRo/TygZ7ThFCvqXL2OaRozfGA/OS
8sGXehcN/ZK9DjKg7bLbwPsgSPp0CSV11MKtHuTrKLr+pUhcQUr35LvPgQy6EQdTGortsJTQg+x6
MKzIcZv8VUgdLFq0KZXMkrdeEAW8BjhbrUnxZIhuOK5+yy727gz4O53v2ZT4O9f/PTnwtNW+q9r+
WnIgE+kfRENntZv15xU852Uih8yPlzorLM71SYG3BHFWWXUsaFcboq1RKgUC8svglc2hHzNiDVOP
mVcmPf9DQcMe//GNPqt0/vaBTm72v2uKzm70n9QU/Z3H+YP05qw0/IukN+cYxvdVpP+n9uYnHeZf
Q6b/O9/1nWoA2/Afl+6/xgQ/Azp++oanx/vuPfkXCO7fa9731c2PVGjnvNH7S9QQp2L+j6559mb+
eaHALxQQP8UO/KsKltMi+KMvdoY6/KuCi/PK9PzZnb1/f1IwcwZXni1Gkk3OFuP/iKRJhzT1fsn/
SUnTr77L2b74J0VgP9E9f3wwP2UJ4tT35zRt5h+/ScC6P961v1S498ebFL3bj9f+C0QUf7wHw2n7
8Yp/mVzktPb+8Wv9k5kfbIQ/IcL8lQjnPEXqLxPhnOHPP73fZ7vIX6Y6+sV1z/m0f1pC+/eu817+
cvb9/n9Kb87p+v8t6c2/gad3wBPJrAGb9j/m017lzYv8j93X/iWX71Gn33/wd9TJCn5j4AGiSySk
gZPviTb7/xi1xm8n1PsUt3QSf3zP+PxPRq39GznXzO6w6ycSB6bPO9jJ/C0AkuV8BHICmCYS+p9g
1Bp/m/u833V04C3KaxRBtJO4ZJztdtPcwGpqbOZCaCFufWdiuF4ipnLk0l6blfkZ89ibJQDmMQbG
97Wvh5YczNAcq33jjcaLWFVwKPw83XZej2FSOmUbSwPeaesRohfZILGligTzcPsRuIWk7rptrsHp
8su0qKyNReO97wUN9ndLYD31FlLhzSoySP4pxvRWyGQhd6i4mYqx22bDcg/baCd9AJ4p87Wom/vn
stfmeJlSpopNz5Cpn0SYC0c+dUvQXw5uk8QwWvKDXUAbbub+SfiZvND03v7iOInc1n3jhT6X3ZUa
c+pFa7KX0WvsB78M1rhgzr0FH3lzsuaadPh0pzuDixGFO4/cFtKeDZjpe1DfMiTI9xNust1h1vz+
tshTLySzBlXabPq7dlmWayL2blLNq0+pjsauMiAq2PgUf54Qx0dGyezfmgIt5SZCHO7Ug2R+TGsd
FDfSliZ0Jly9zZa0HelpY1yueQt52L6btcaJ6MLBUk6kSAdWx30hWyOWbrNd8MHaWKZUMTxGTLn7
xoqgu8WFXXvHzO+vJ38t4kH6S0RA2RPhlBphhnAPyHXrsTuQzYEh0LTR+y6FglE4960aqu0i/BFC
KwgHU5E6Xkt1vw7AMTaAHES4qjk6SXuY7NnG0LVbmb4TEoP2TDwbKwI6TSC2wfVAnNiD2RoZQrMP
o9bLyByT174Y9biD2nvva9oHJjQxdOd5i8Dxvu6WW7hcqDZzrYStleCOkJnP5jAiA67gHfvLCMOl
edYqdwfk/2wnBesaguwmSOFTr1N/hD2EwMspTu0xNmBzUCUH4TY46kPeO5RFQiDH0PX9Y+rZ69Yn
Wd4PhmeLazxmmt3v3dqRL6vsb0eQwk0vHfXoQZW7NNTwuS6Xp2J2PnSB/FauaxFq/bTr2uDa7cCJ
7pxZG7+ltif7wzyh9thAfxiaULZONx/kMs11PCJM8C6Kepk/L3bvQ/0LkvbaJruDbMmCCdHNtCb1
zehXRQWNzC79D4PWuUYRugtUUYjbvd1FcxVoN52DwgNgySBKDyeuYA0BgTwfbC1ZujhLGGFAqIQY
+NSUFsE+8LKEx7MwMlSqC/vXdnVU2UX4epZAdCk6j6uSWOmbpu3S7trq4V05sS7MzjeBffxSbK08
B8KsVYMcB6GRkb/1rZ2UqD8gJJJQX3cfHDt17+aRYLwoW0kICXVPI8HZrQvov6abqk/kqU/pkcDN
/DodbM/bySFdjwk+5VpUW96Jtrnm9Uiubit43Yil53WHgy8O46QGrLmtxfQPpbIdyPnmnDwa2hok
kbuIUsR2UOn3LvyeIhysrklDrxNwrTJDNda2hPMX7OEoeA6caGV2FcSFeT1xDGU+Qan6jvuJMQED
dJYMMpFvjsGw1xp7diKvRpC3NfG6ENs1YV6IgNwexlh8hxuhiJAM7MMSI3oMIlgQDt4A4O8Qzv2s
T4vUovk7mLl2jfMEWQjgTxZLW4QAsssSpdUgBHSTEzpqeOsMh6vrs0ObZdAGFzeXz8isYekW34HX
sfezu8lDMrUJjBouc0oa6nCovDI4eaacMNxaeugxZTqswxWkkFy77oMmJ2xEG9PlNviODWukv8tI
qx1zT0YnD7g1nak8lEkTaOSF5OTPV73WzxvTntWLKUGjW2kn93B2uSFtkINUkcCMXNb9DmsHQ285
X2AD2rcID7DWsrXlxVbKSWI3tyYrKqsV2lLD2RqEbQflbLc6pAZeKK8WJrMQu3P2qc+hcZeYo1fG
nQrGJbRmB9zZt8Z83hDhND+M7jzc9Jz128nUpn3lrBe6lhUX5dB3MTrP5s5JxTURwjODA19FmfJm
RhFpe5O6UFy7QFc3Hpa2G6hniCyXjns8ZerFSIt1l7n59dy72m4JsnYjc6lfkpOHnryeD7rLy9Yk
1QAJksTgeU4jXThNhOWvvIJ6smxWY3Q2rjfm22A0yPTyTOQhQbLreuywrNLI43Ie0cm29UOVTnep
BZeh4/wM1yZ3mQO4QX9VLGVaPvV6VWqXibT3tckWrboBCygbxeNnSN3VvINuedu0bneEWis2ebA6
hzbVrh3hrhelVu16OeOEmMVp0lxBVtWvxgry2JS8WGttoUtov/UdCarZODfbTDNu8wC9gF543UZK
H9Zx5VrROCTsCe1tclqhAP+bFXroJtdmbbOwW20mYuKuW9GqcMmSLW5RFVwF661Tzkfo9voRMmTG
6eheJY0379umc68QM04R4ldtU7Tm3lzaWDPqvbsa1r5Xg/zqrk5oOnkZdWWl9lneDi1EVq2N3JGj
uei8Z7itj72hD4eFBRHZGoGUpsyDzWD1rxKG8RA583Sv0NMz5KZCWuIBSozJSdUgVei6PonsaWTH
8ALrolBLsxtHLX9wesK9y02zat6bJo0+PWaFjWsUHPrKeRa1HmRhVtvmuiNwc3Gvp9QYLkyN2mzr
BaueE9yopjTu69J0mOF3aRutC2l2d0G1uEQkJL3UN6nTKE7LSd/lQbvG7Wloc2GvelduvGEt7gq9
HR4KLyFza8olFgq1bbRfGahM3ZbwWce5HTKCVKIxX8ogIhupay5q/Gb37by6jP9Kz2+sfZ6thnEk
iBe2syrNihzePBBvdV1nCo4+ZNW9GvSBezqZznAYpciWXTfyiw6IWa2qRyEBSepTo2W1Aye4ZP6x
ZeZis0Obok4OWaY5XrTmiV0cl7JboK1C1uuPDbOhHE7tibXvN7aVXRCwVaabwq2MlBKEWezz6hm8
VxZef7kMzVS68ors2brfCCtvqlt30dV4q8txNuyN1LQ1iX2lxvuRFHSN8abT3AV6v66xQkMp7hZq
nk+DnTEAbV1vWUPs9aZq0zBWxqMKYYP3oKWwDneraeQ+TDk0EWGfjcy9EnduqQ6pqLo9n0LCDM+U
nx1cPXfKjaI0IFDAU3mqx6U06mMBx5qqgVHSRkuDIXuq66WEPgEruoIy6jTavbn2n5y69Pa+7u9z
hKUw5QKxNap1txpLv9fGU00rOYS8oMy53oxqLR8fcwbmG2EaXxBDvJb5MGJFYOUQ3nsIJGEJR/Rh
tBM+JgKLuPDbJzW4Ryi0MXUbs5eBcBbLhmKnr92ult3e8EjccYYgfSpqVrAhrgwXXWtbo8pxZI1V
BO48G5fMCZf3ZOtqdnCwT3IUxq/HUbSPeDqRtqpYPw305DHRIqMdb2TvqDtu8HNWFKfo9OpG98vj
IGBAe0g1OPLEEWZgsU9G50BJdHNivX9iG5uvnQEfwjx7GLVmO1p27FQVAXmy+WgUxsiO0ybb1g3C
WQwfKtHdymDcZ2bzWvltHTlN/mBm1l0mNZQJiZg/52nzyecNJcQtPyJUE3uEHUenzCJr7vByKDqG
UU3KLLVcXw2VXFXCeRjsBI9Ab7rCgVSFhReIy9zHM7W1ThWRGzzbQsdUo22/rVM6QPQ16FWYas2e
uib3+2Iygh2MuitXandVXXxYPXltLe2tk1v50U2qL904FNtaptomT6xsZ2VIBpRoP55yM0OUT/om
WSq0EVXXvU5j/zDq3r2BgRvjyOkqs4M9vdRWpuPFOEsyHy0XBkDvXa6NpBgd0423DJDDjDuvs2gj
VHdbBM4dXNotBhYfpjZD4mXKgFd07UMLy7bN4g8fOapPqr/ictQM7Jdg6VHqfmzTYSsWwSFOaGp4
cnZblIqtqTuazaB2hSarXRF0b4np9LtU+S89ykArc1C9BMc1XT74tEZxZxEE2qXO2xxQlJ8EClav
QqteX6cqSIcQR6adnVcfC5ohzpZu8i/swX3WV7F+JWZnukzs/IkwlOEBimg46TZEiPnANkDbOs9x
KpJjXy9PZa1fNOuK62KT3CrX2zmNeynp3agv48LTpw/LOF6u3Xxb0lhdC897sE+aLdpfna3eRL7Z
z/4hHwuEyuhgP6vKjxan6O5t0VifHFt9yBtDRnIyYfhbOW1ZWvWhUye3mWi70A1WLQpkaV4kJsKj
RRo8nkUY5Ta3zeUWe6bbMvGZKiNuukCV8wUhYbrJR1ddcth0mxMBPV7h3D30kJgO/A4zZd7OCHXB
MiGu8+IrdHIfVvLUkm6XCDKBg3G7jk4/7OzR6sydmpAubThtx/q5TGYkHrKU8PhtNSU3NhnMCLP0
gSrqhi4O7Yo0zXw8kF/GT9lJpu8p04vTGNjIxK7MJ1nEtD22zZ5nFqgeUBDAykd+Wlnb1pcEkGmw
Jkq+Uu96mzVYkKBYpcPf+v54YvrXGiqdsYDcrwKpofaa+FMTDlZxCaMc+4imTufHaUbpA/1Bqcup
xu0xglmVXxS64qOjWMubMuSw8NdwRLBJwdYvwbEkSw6HCHImofgHRseesBTxPDkr1Wzf8q005cK9
0pTa6k6G5s5quqm/dHIps71JH3OVORkND5wXSnItrylpIQS3b0nSTceRxipF8eaWh64b0rvSQKJ5
oXXS+mallnhEgkywJhSWkaJ2Rs8uOxrPbtZfnGr9mNpWcSvF4HPj2iA7tqbyp+28mm6xmYQ8Dn5y
i0/qhyGfL7AGuZba0tVRP5j6Ve3NwUVTQ0rfCjhx9c500n7rjs11b2kXsxfQ+KBjZvw+YfWJ2Dku
wGPaPjdDuK7baho3Yu1HxArGsZnXW1tV3ASxhlbmXpqyjUbBiVlb4458ww8WXeBF5q3X6HDCuVdt
2Fc66WRa/QJTd9nLEpXN6GP8LGR93bbwAGxHqM1smB+GSi5xvbpvnEPXsz1DyLceZt/NkgNRdNAE
HSvRXvSgCR6SRTeTeJX5kG4rOd6DbCWXpEEa7BZaqR7TVkkrRhNX3aNFK41NUUDWiw3auSWCV+sO
lx5+x7vVRnsctoWN9sxqVV9eWG57pWfIl4oso/+YTDLPRFuab1Ifrk3AoMRso0GTgpJNtVdDMG1z
vXstTPLIVYusRZnrJ4Qh6a7XTCNqlJexM5pbDqMvNfAApUcgEJ3CwoI2aN7TPtL4Y0gKAyUIrCs4
Uh8Bk76iNkBlHpT6i+20x1yf2rt5JgewZ8PccTyvzUNRCko+XwnLvW3hl6BwrU+l1wQ/5oKWPOg3
Zd/xT/TWa9HEuKp4ofvh7ow6e6adu5RiqY44PNYRT7FTwgXBIruqTsK5uh7bqNVaP6YO5fW3ofHY
YWGI7I6zO8VRhUyirVptd7vmaO0iyDQ5dKDEWp6b2ppIKxxk/wYn2OVMV9JHpFTWihc6RV7TX/Wi
quV9P6IV33i9lksMadqpjwOEeAgOJfbmX0QTeB8X9GaYW9mTFpONpNA4LDV1K642pzLTyth2Zr/s
9Rg+FyeFtDT12sEE1o7NsODRC2c4h9RV0K3qIt0Yk94+oHQdLgzllre2tLxvudAFodOtt6+BFKnV
B2C9rtO/tBZ4HNICFCF1NXZPnp+p2MuW226R06ZOdXnwxvFr3UJ9VyygbTLOnnHsGlOEpurivjWH
4JjN/rTuXTPtrbtiIcmet9/nUAAcLIeQ5jQojirQFhUZ1SzTC+n6XbcbKFjfRO3nRJzp/vJNuGkR
xNDviP0eylIFO/TxY3Kt3LY5FhDUu8PQ2FOOCBK3kkOJ1z3S/NGQ8wUu8LQspQBBRq/BoUGyqZ4X
IDEdYFteW3567CrGSzH8czbeVA7JzcnsfglbvbXJcPPnjwJ6+lO2CD2UyViFQ1EbYQ5adV1Z+vwh
p7hoV6s/6HkNsgTG89VOTlneeuoUL8pzqx12dxUyPuXaTxNUOhMOlaNtBEzJ47qOwYNVZuueNyEI
QKO4doTCYFKh3mTefDm0Wobio7CStL7yym42HiReCnLLHtOIm1KhEd1b31WQ00zzcijNRBYva4+C
jHYQNQ2Nq1hvKxTD88tctGlCl5wuzqMz6QiE+15HXdh/V21iuYn+qG8wbQe58+wn1INNc08R3DV3
lg/j7KlYLPhtQ4K3EK6c30WmMJmLNRyEF7TxsLZTE5l+EzgwHIu2Xi99N+EeqGakXkjQAmf7pm0H
sld7rSwe+Somaq6A7n1r6CUPegzsNLurZNvbHLpz+Skhxl6L017XjG+OIerXnGfzjXbbqD+i1kIa
L7M2klaFpL/ObGRUY1qgL9TcsRqjdNARwqrvQmAnI5f6Jqma4dVGc6ZijRUDGCmH+iJHwe1vhchd
xaNTnGdD2gYinsuyo4nD1Yiw1ZOGOeEEMm4p9XorHCerv0y1YPK2vCZCi0YU38i9ULaDLzp2wP/t
Zg2NWV/dODkpqul+EPgptGXIrHqD5aktrrkiVRTpG7rzJNh4GnHkRzY2rQyB5lZ2iCFhU5NB058+
c4WyEcd7trIuceV8DRsxO4woOHClrLxT/z7mLObBLwo3JlNPnyKgwo4PgPtuufN4s65nt6rSmxn/
Nd4hVI0feTM16Ij15H40x8z7hJ+Ffc8eQRXodRp7vfAo/4cM+iKFVKAoN5lt5K9Tn2axN/Tj9dqK
9SqdFuu+cnKikNFxbBXuCdf+ZB3EMJgfFjch2dKUe8LR5jgB93wK+Kh7Kg7KpDXvkuvCEkh7pT8C
ZyK3rlbRXLXGVO59+HKZ0Y1bXSeguHX8JFzYcq/7yp03SStw6jQhc0oa3es+ye2jb2tG2DnWQfPX
r7WrcCFbzI1HN73OtR4uZtBFC9oMv5dJqEZZfXKNpnlA62ntZ2S+m7Ub7qXf7xvh39tAfF/QdjwG
XnVE9NRtKmqSaCSp8aEZ/Ms06NDIaWkIbX3nBYXa9LkXp1gnbHGZTT8Mvv82NUmA0cNkHBFeayIq
imLBP4N7gUjTdapNzwwHYMdx/5bK/u9R47tR4/ew4H88aPxfX/qv7weM3//57+NF1/0N8jn267iY
2GgmTj7Yv48XPes39DhogSEjEQHLiflfrHbvNwOsCWsueOtI3MDf/2u8aBi/GTaBsfwhdPl/drzI
oPNHToPl+CanDoaUfEDo9ecx9OlM4i6vnB7JYhLVi74YVaR6waSqMy3ib0tnhOVcjl4RdZ3dhaeS
5CqQWXlsMTy5LRktfUxE7d10Jz+RrrYwEwuI3RzbSlWbOUhB0dd5lIx0SjVv065K9qKno20sbbhz
gtmNOzSj9s7wABPz6SDhgTcI6TVBG7p0H4PWSzF5t4TuIpGvsQ6pkBv5jD2+zpk9XA+oSClaZiM7
ekSgUH8myW0FfgT/u5PulW2UGL5kpxiI1lmZcrnwL0+awRAHwiI2qxHAbFg7JMZufaTomwiuKCfz
Uv1f9s5sO27k2ra/4h9ADQR6vALITGaSyV7sXjAoUUIX6AI9vv5OpF3nqOxxfYfvs9/skiiS2UXs
tdeaKx/Uw5Qx1FcyRxuha+2XPVZjFrZW7N/lhV0cOikAxhjQg27yhdWY1FrM+mL6ZtDoAGLaLONX
ti7xjRqc5ASpyL+pEvWc9Xm208fWPBWgJIhMsZlY1+x+nZfihAaXPrYF7KK0Qzc3VXLbjJlxtpj1
XuN2ra5mL3OPi1ajHcy6mbx0doW6uQB4isgBQ7mYC/2ZOCbQmsL3XmjTaaJ1YpVkEZa9MgwID3Ot
gZ3rBvR8CIyJB7efqolqqPH7azPTSjaky7lxKo4PkEJhu4zrcagSf1faBbX0qXgcFz6v8uq19wUK
R36fewO+ZXfiPl40AyuVXoRcZfsoW2wvhHZJ8iHT4zBLZF3hxm7mPU+lEay6KU8J0UNM+jqkCc6N
wDeydm+0K0M/schoaZ2OMLOmItsD8MlalruyWxtHAkLVd9zdw25FF2LxvWFTGPYqZmVELTzqZnxX
NdajqDIz8KyaW6sdqqSzQlrO28dF6cl+LVhYok66V5PbbzsKft/CkfmtC/mfS4PpPPAd6kdtMLjx
dSLZmwAbdmUPRicfC6QOb6wjptqpfyhne/L2hgefiSm2cIIc1Mtoo+uwcTyBRejzjxI5r7N24zT5
mX2bdBwuK175yi6vytZNO7brqV+Y1r5ok8yja8kQ4Ecia23TWpwboWls1mYDXpLTB7Cyi6l/XMjo
rtm1UwxzIe5zJ6uOk9MmkdkVNbGwFrs9jT0/0QP4hwhY79nFZdfJMtZfTrq23+LSmSO9WJajIpHy
VuYwYIIJf/H9aG8UC8WDlbYjYYk2Tbvd4Hn1o+zyZj9bhQnjiQPzSqjJuaGKtMgDk0Xx++o1w3VC
U2PozCbsTiwDt5RiFO8ydv1DxQz/vSK1cFBN7J7Xtlv10Dbi4pAi4z2uc4KBnct0yjK8JeM+TlZ5
7axqWxWlHh9S09aI6/WDg8QUmzVYlMG59Zo4fQLK36IDK59fv1n3KWAcliA+W0lZedVuzS37lI+L
c0WAor+fuLtsk+KziRXihkQGGOk8pXqWWPjQvtssbx4JIfWhy34QYkdvfNlutrwshWQvq6Vde2OZ
4mGtzHRXDrxhHDc3nhYGvEe3W90bF0bMjliOea+bg/nq1ivZG1AO5tVkVPZ0ErNCESzMhsex6lLr
V2oI41k1bnI3GXI1wy6vstdZ07r7lCXaHFi9cJ90K0sj6BsYOkh62C9VWjMNtM0cuUaKIpHPeSQ0
kwx5quX+oXG9FaALFEbEARsBIoG5BRlC17pbKi5TPjFl8TD3+Er0ddMf62TRE0QGGrQTABpFRGJ1
vWtHoqiR1fpLmBnc/oMUVf0jIfON2gXdJUjqTL9K4UOEHXBJ/n/eW8+MDf5nCYo03hu22Z/1eLGf
8mWGuLzq+r0vW/m0pr55ysbM+pyULx5KgsrnuZMYN9LFXQGX9WY0u5X7q9X5cUg6NOM9NCRj5+RZ
cS5Ep71lYLPbQzZr7i356GVvmfN45LMIfbwblmHvLjDJZtGiznizfZ3xWvlRo3gf5sXX24gf1Qk2
ck+ZR1bXmEd9bIYI+REHhGmOQWe433Wn9w70cs9dMBNW5q+g+UcDR2WkiQbAh1OnkeVazVWu2RMy
pNP/cKYhuRGclqRRTO+2iivucAIM3a0ovfU0wmR+QJWguWLWMLqkcd6HdWyy8k/68lHzRbcD55MM
3PsQAnuj0O57Zt0xBPrT/NSJL17NXbq8x7oqz63JKR02xHbORWVXZ8Z1NNCiyfLQLz3uszLu+2+j
XLMUq4HlHae0k6/xwOlo96Jo4Hq59mHxquwRnol+Pzpuc6BLG7OI5qhbPnqaa72RjBZFJwOEo5x1
OIS21f3hc+V1jkCAvM/UHTjg01hnknZ5VMtC6ktEJVa16TzW51CjbVF01kR+DJRtzlPtbOMDCnV0
AuYAqMpf5SDnF4s39SFNOdQA3brxO6uJ+FCW63loAALNZRWakwjLuGUDY5TMR1S1nCCw3PmF7bPP
md9ptOhOhbDMF9dnxxkMnSde8cKk4cQp/KazTv1ezZaxW0UxfONTr70tstg7Nl6y3mOzaII0XRqA
euU3Fi+3rWBN082+fd3YenEuVdPvu8y8olXiKYOAFvXOnA2ElarTVosVZ444D4SAotkY+r2FTsOP
wOMZ5U7cXeupA+HIZaJ0yQ9FZTHr526ys6BryzpqCZIfeQ+zbDCN9CrXlXNivSSB4WTtK2gEEYLg
sXaVI5YbVUz1adQBeKKvxIe50/KrTNdY5Qrdfspyx99xTPkYEMz1firEctfkfvpK03tz649T9UQr
UHWwfdkdBMibfVmJJYLgVOwHskSnBSHpDm4BmXaPChfhDHveZ2oI8zQPcmE+Z6aAi+Lv4AptC5v0
XPfVySvTXVaseztuo3HyriqcNKk+BqP6aMyfouidOzYJPvxBo0IvnWQ9HVbXGTaQnxk/MLUnr12l
HxZ36aJJGD9BkRjvtVVNt6z8uO5ABUpxsMC60SftxqJWSZxLXnhzpFojW8NS/vTd1v9pQusmNd+3
a1SBUwlcZv7b3kdQ1djxpixb+xuj6XhfDq16Rii2oslL2CHXa+qwsY/j9HMcm/VY2vjjkpZ3YjSg
Bwci1l+BO7GHrjNCZ+Tq9pDhAETmc4rxQrKUatiV7oxi1r7rNZs1msbbHWrFtBMgnPd8BEjkxdm4
h7SHawOjVDxz9kJPL946vex3WsJ+sWF/feKCOn1Mgz7uEc+NkIiqvUsyKKm97lJKUPbrbZWMTtjE
S7L51JydhmYbpbQEIgXAUAQf2PlnVazJvtfL+oHdJrfXMS8Okmqok6Ul3VWaGv6jPy7LQfFyPToz
UKLBGqIsceaTo6QZQnBxoGAMzsFZTO2kW2yZqwEmzIjoG7HtNaKsxF5o1yAN29EX120t3rTReZZu
8qptTPbG3+6ZDUlZQB7X5jA5gXCWh9ic2rDlUyWYFUpbnKo1ajWxPHZtQvK1h0OQZSg201gDEMZ9
t05VHMmEZ7SqXJ6zXMFSzsafJhHIXYfkEmXWdNYS97rZFiVE/CdoKx47m7K721ilwMVjAJ+rc8t7
5VZ3O3ZW4PCQi5Owt1cMZhanmrKz7zk6UmBNnbHPG/42mLRAeI3+3hflzyYrvzmNf7eItr6CDrSE
oixbbBHuHDU6dqm4gmElSsoNJNF8cN2nOFmYVfJ6eNe7uP45iGFG++g0cQWBxwmlBP7u5nq+w3ew
uR+tj55I5HUnk3JvapW7N93WO+R9Lh8h/80bNETt7Lx/HtjG35rl3O7b2jq4mlcH5VIO/Nk0hJ3l
3mQrC8CxF2+GST0g7q2cD+Xq26rGo4LWyIbfoE9y6QIp4wJNpk1RJ0Gg+QPsQ+HL0INoFcCeuu6l
7T3KZk72rY0qpWk5drnCrk5Ln/pHfCy8+DlVDr1JULgH0H9aUwlaqYf1MVXzBsTUBC93WsoMt+if
2OyooyYhjKX5hM+GsG6RDvde6b7AcqYdYViLXeLEgdfJCAfV0h0bvo61rhyfh/XgkZSMmkSO142b
Q4QzNXaazn3OSmtnrWq+wkIV9kN2dKybSZUr/5bH5qn8pXko9cMtRL32xKk7XlVqlk+sM9Mj6BL9
OPlrggI4s1nUBBc7VteecbzYk/8rpfwmpRg+lJl/59reIAGffwuhCDDlff4uq/zjS/8hrFjeHyYG
Kmw98L5RVzbZ4k/ftvkH+3SX3gmHSrpNIvlfYQXasW/brgOWyjZ0W9/IQf9DQvb/MLELAhLAL80q
xzb+E9/2P4ViNp4N35kePA8yIpbKLcLye3KPPWnXDQPwMMsSYY5i8OxMvXm1mvX447dH6P7vTvDf
MVL/lPH8+7fyDfgkfD8Pt+dfv1WPC3pzzZSR4BcORzHaIeuPr/+fb+IIHjrfwPP4TyEfnWuP59bA
0FK8Ubu00oFc8q74f/RPgk//qxzFL8Mt0NFtHjwSzqDm/vrLaGznpNFwWfSqRLvm3J+7CMDAclsz
r7tnK7WKMmwqnfcgA1PnoWvEog+0fu7Vtd77aD2diqf1iyZLPWZ20hQDPCsExoLA2Eyp4Gli+tPv
DRaguFTQUA9uYnnZPlvimWU0MAtW5rpmz1eWxR2HWSBuZWA6Y7JEDaaNn0aSmO9VNo1fMjGTNfLZ
FOhh68S5GeIMJjqO2I0V35jXpgC0ux1lvWFpvxTltecaMyGlWYAaXG7w+fDTcuyMKwYQhDwcGAae
Zu7MWEQm28CLVce3YijQxcsYyDdx9FhxgrilmMK6GvKJTehAixnYvOTVGoxpwK0wYZczCoEAxU7a
yPC+OI4MWd7DyILK0f9qC+yuYeyVcD/XdqxebCO3J7jQjvGj1y0LmGlTMK+MRv7Jv4/tYhQDqkim
X+BgkE5RYqBiG9cQOCuOzZyludu49if0PozpKBYV4+bo0XQAtajmBC26cVMyqvXMFcVzQ8cpqhtv
KWbc8PS3WIHlrnghMk8N+K3w7Rc3S9di1HNcRUY9ME3dfxCtTslLWjn2R1rOGj1186weqt5g6Gxt
3JCBPmqdGdrjupwR89UL5lPg2azJ8+e5nOrvjMmIXUbJ1mSXd6wqgqKQjQiHzoYSIZwqL8LelCAc
CzFbPASulf+MRRJ/i4t6emYtZ3HelGMG/M5FUmGR5HoN59eQqMe5resPA4rBvc1qBc9m5siXtPDa
D8PjGkvLqJJ3ILYWgAWNcF4KvazOa+72mAlAHe56sxqWXZy4w13MOLRcNWnvvZnQnb8rlVncL+kz
BAgA8+7Gzi1xFrXDMzE0RffsJ1XxNHa+e6yrsqf2t7HVm5/IqYhSF6kiEPAgrzQY4/Az5lR92FhD
AUNXC4Z6v0coYdW9+p/jlLNBgyahUi6FMbuYxbUQGuFFZ591YipYiWq0VdiVshZQbFk7RDA48B7Z
TCNjkNtrQtpEG6ipgkrJFdkGRwHReJgfKAYAJScMWWNWWA0iIKvdW0moyan87Iy5eRhr1/kqmj6+
mhVaa8AORnub0+yjFriuiI3o1mvsDjSuDIXDOj+uHPxxRmYYmH+HqXuQ6EgS4LG15oGHV7TfLUDG
gE/noi9CR0vEtTPP+t1sD3h8c2PFSNqh7gmuZ1K9d57GzqamZ+aHo83IhFWlN0AoNa/Xw7rQEvTp
Np53g6XjsdVyrYl3kzsR4S/aDQ+vSg3IpDm7rRGiFRSfU48it1mMCJFMLDXnwB4X7bjSE4u4Lqry
oW/q7VmvXQMXUU/fRzhNlcxOBmOwialXl99SDb17X+J7FjgKcozl+jivQDX8oWLbrQNhBcpstlPU
DpK8hNvl/XDAnVA8AfE2I8lHkBcmMTZ3ZIy2Zr3oLTRKzG6aTGGTNbCrGg1cZVBsjmVE1zl9xXUr
5sgr8MQdEm9uMD6tZKgOdV7FfDxZC8AQO13qdz3d3v7FCDk84q3ofUvk0Ou7TAFiDJaFtoRdXeSa
xqsKA0egmQX1acSB3C+yJ2l5Y1dD8lSm8fjWDLV755ad6ewAUNRUOPtVelhWA1mrhfxhkWyiHj2c
kwlBA4Co8WaWHldPEa+6FtEgjDBVzB7GlgJ4oxVIWqIfhNd7j2ms8ZNqeM2iuK4TI2SHm+IqHIyX
qojdg7BsrYqmVZmfdrZhQC0MWkcuiXLcCXvmfWDEg/4svNo4edpYjEGMNvnVFVnybowzT/fQzjg0
6UtH3jHMEvoqpN48Cdgm43nvct94ldJI7zB2bHySVBgklbJ5ZGB3/Szy8bzMByYA95dnLQBDqind
yOtSueiWuWLh3Eszvec+Ws6RaMbmcXtERgqT7fjGHQ3xRr+XYvnZVhl9AbKqtnVx3tzyP/0O6u5k
PM/ELF6mrBrmnRRmjx/MHf03fEjex8qr+AY/Y2NCfem6KsKQM7tBli+IKxk72+89O/cpbGcHxFCR
YDIhNMNbBw1Qyh+xxRs2SBD0T4NRrpx+ZH7wz49DR1GCUg1MUhIC93bXiFvW/tO6k62RgC1y9Pey
w4OzOeLBwrhxa5+g7CzQa70BasZo6tYPcKVDuyshtX9iVZ5lyD6reG0XkWvB6CflmxJj6eC2a+Jn
UzOWb2D4tCsF90YBaqWPEEeBllo4dvSZTmTeVQ+NtKrvld/I71MdQ9Fe4op3qoULsQkKbTRup3Qw
Bdxbx3xgbqmey3gi6rGIZH2vxta9E2iSS5QZg4XUuGZH5vHiUUsZ9QJduUSmRqEpBnyWRAGMndLC
vKlhJE7MoXICp3Dic2Ll7NhKrnV4m7PiWcvHAbeu24+v05wlnxZVgAWnuL7+3AocGTlLwWqh1ntM
JlNfZi7bjp6PZybv8kn5OR+DVG4sN0tbotbWi/XEWUWGz9Pt5tiUleQLTH2aeF7h2Ac02Bhvbmbb
Iihk2r0jqU8vFtk11jTSs09kpuwzXGO8HsrluhUC/tEm1OsBSnruKfEN/U4nJTAzNJU+RgM8kMv6
UOmdTqQhRizR8Ns8Oliqf3ROmUhCMlt40TNbdkTw4eVNzRTJK7UfIHcn0uZ8NZYRS0Q2D6CArdrq
GeAd+cpKhH0XW/2bIbHU62oWI3Y1xVHHEXIzYR+7s2cJeNDkeHqaE/jd4cyjY0XJPA/XUI3sBYl1
dJj9pDMSMqzTsBaF/02mmfkKw6z3GLRL46kUmC6jdnTZaE6Zml7y3DBvVW5j6FpdMFPXrm4PEIV9
Zt8QnzwviyKrFwguk28EDfTnGzVPQHuLMTOLcBnN+r6bExCes6En444Jv2XvaVbqIXb1+GupYXMF
Syyzz8J0cJJP4yADP4spEllHDWnY4XOIKJNddAVHkkp/GashoIhra/vdX6CyUqGm6m8c29XHIMjG
7Qt9FEdQeoISMCuxz2Ou2jvcAPmT3RiQJAeo78e1TOolYOlUP/nQtV/axLVfuIp4TyWpMYwKFHu3
+8LvnR8zCEKkvo61hEnbRByt3ORPHLAerwo+xnkFlQuES/5D9lpNk6eBFK+mX/pizPfUr2R9mJIq
uvEgIXLdzdt4BNqIQLb/95PKv0xe7B22XK5NZpYAr7NNGL9NXrNDVEDhe4vsQmsfpEY8gFvrdEgX
4bz++291qTr7LZprkYHFQ0GkGNYnGeFtT//796oUAPlKlhguatt8xgUKH6pBSPpoPXRF7C2A6QNn
WpD4pGW1JIkae/lVLvi+doCYmhfh9nqPkw8s6DWL3hy/IQsvLYBMJa7neaqfG2Pw9IjnFfFTjatD
EqLBlZYJ93buxvwXPd/dg29Zy4dtT0tOMNeuaRquC/9zQyB/iIw9IGEbujn60kifHWWt36tJlk8T
adM1QBWisP3yuPxXyvhNytjquH57tfwL+PDvJVBwD/c/vwihy9+1jL9/7Z9ShvuHCSjMc9EezH/o
Ff+QMlA52BQztRtUWxJA315f/xNBt//ADATd0LTYwoIA5XX+p5QhnD8QN8il/2kgsf4TKcMy+MV+
515Yurv5Qxy4h/zZxmj868vcWtTqdSXJglkRpuLW6kzGj204TK+ncZzar6YqfZd1lnto8/Ym9uzD
Wht7YXbXZcIFgV0M4+HSgE9/Vy6Km6Uf9cS7LlvCwnX9SGwAa2C2YyPzuhbtDzXXXBP5ACEo/LPz
8lMZs+vUyoep8SkUSKrQForWFWdPUExFGKz3jWnvqbt4NxznsMTpS7a2OO29e5ygN30yFuFg0lMz
+PdDYz+kxHdV6u/HCZ5+zH7FV9qNMxOPMDLcdlxmnUz/aRfxU6KZV5WHuasa9AMdT+/g9w5LLk4G
dWDmYD21vA97O9/Bjzt0LoGpYrkyYklCbz4Ko9tzV8aWIv2gI+xQmc17alUcbXZ84pE51Xa9X35O
zbl3no3C3QlKRprhRfZuOGg1RO5VHao2B6LbhsVCwsnHIpDz33ycaAlpTscs9vYyfKv09JoQOs5x
tiFWFXUc0jnDt5V+mDq/jnWq8yKyvDZgjbwvMn3X4gDU2VRVGuPx9GtZvq35EPks2rgjH5PWirjb
BbW/nFwKJESPEurpgUNWrF4/2esEMcfPMNZHq6WSJn/rqoWc68pgs4SA/AILa7vkhE8eG+qh1PSa
ZPM+s+uD4ul0aXviekzynqVW4C1xOI9nF2nZ4XNR6VHJ7zq4CbH+FJuMeWgMdWWOWli172o6cbTu
kO+H5YuEQKhPj0P6kvZPS/FL6/p97aq9a36kzN9FftLko5GCtPavVq1jIopPTGWsrvKd4+v0dSw+
p9T8ZBD29/T8nUn/EBfyqnTcmzluz2NiRVYeYxu3030Xe3eYDq9GZR9d13kt0uY+WW28F9NVNtGB
leVR5vMM9rQ6JXYk++q2i9MzQ/RBmPZhZm0cjY29F5135B11ZFOxz1Ln6El16BZ161jjYfDlnoz0
ITMWBpW8DLqy54nT77BOnjOKuxAseJHq3vXkkwhFIwIIjY0IeXx1OKATk10AW5TKkLtlMb8yL9+n
Nm7vcVU74c83pbVetb5+8As2FO0mbXEAHOQc30nTPLGqP1hOHJZjkoTelL61OI8SAk2xYAxgbr9K
ZZkeIGm4gS/TSE/Mlyob3pJpeDV74uW9hEnAJ8CjSvFqJY2/IwV8vejNAac+777sdWkN98g97ki+
9kebdry8O2fHbuvToKCE6s0Cm2mHh5XEGKe4tJ+8fvlR2xqFlaTH8tQNdW16WctWNqhGOQ6qyhoG
O2wTK3ZfuTtRhzLZhUfgxGuNns4Ay8Nsvk5XXrcMh85vf/hj3+1INTSUgPnyWDXGGJaZ86OJW2RC
fcxvy9b7qtbimWucDMt224wThYysIT/SdpNh6bcqCpry8ruhxmwfT/34mDfrMy3W3K2K9npeFPqU
YtKb0hc+efYqMdh6mFeJU0S2/2baD/VLoWQk0Sz7rcPNWck0IQWKhbe+XRLf6eu9hqu+TLodVq1Q
WRLZctx39PhElS9+FWOfH2VhHsds3ZGC7iKzoO3Fiq+oj6OzRTtPhr3LtKQC4oF+werMWv0npYlr
rPEdEFTr2p7MUAm8enE2G5FgCHCN+ox2cM56+4r1/mGp6a2q1l8+3oKQCQWcd+tAv3b3fbV+VR3e
Its/wucl1l/dOywKg0xWTxPucTKJR3ornjUvPoD4eJW9v5+Scg5oYmGKuRKSdL9T3HbugL9XqbDU
ZoMPhPoqHazD6DZXFI14gS+8H/nS34ikvJ4N77vMxAPj0plVz8OcE3gkdk288d0mAbTzJfKBk6R3
GORkUDcmnrWi33QXlYodArN/rpS9mpGS2pPrlmd7g7f+9wb0L5WW6M1cvv/vztjHrP7bQX1WXz//
9gX/efjLHQiazfbVf16C/D/oTrN819NZZFimyx/9uc9x/+DG4W9VtUAsXQ7w/70EGe4fusfN26dB
2qFhc2NR/3kJMs0/XCwQoMRBBen0XPxH+Ge+1T9dgoDgW4bpI3ZutzEc+3+9BPGHZKcXwBQ92SCs
dc0da2usUoG2ohfLezw1XYLCWFod6pGDuZ5Tf8ECnuOTQWl3EJZFtqgnw6+8EmHEZLG81iTHPocO
NMP9Gnd60dEgC2Q03WHVWtLPjMiJbx1JOTbai9fpE21Z9mhP2VmnOsuWGKhaOVmBkGpkXHM1+lu+
qjLXYg8vXZsyaY1YS+KPqarWra7ssia5rEysy/oE4uy2zlQJaxWrYol+tj3Nu7WmmioNd9vBzJcZ
bb7Ma53y+Rezyxh3meh0k+COLM3p11piLQw5ArLXoq6Bl6weWkWgUeXmhZD79ZPSzT7GP8kAuVxm
SSIZzg/9MmGWOemiYJGZ/5RBQniJt2E0i/v6ablMqOM2rOIK2g64hRE2d0R757qtfeZRJ6aRb8Pu
IFQR74FtVB/5NgzHl7m4tDP13bxMy/U2OPc9J0zoXubpauyYrdNMVx5GyrhnGzDP8/W6DeKZST4q
0LbxvN0GdWyq5Bykt4D06S+zfDtnzb2XKAOm0GXalyjNN1Aq0ABQa5AD7K2tUF5UAs0hChFw1Uc9
0LIGJaHYRAWcxOOLuigN5FZRHWJ+taf8okXYs268NptAUW9SBcsDVItlEzDoIUPLSDdZY7koHMtF
7XBVr56ciwZCC1x+l23CyDb8ckDGw27QW/W6bAJKvEkpSYqowi6hP2d5wUbfvKgu6UWB0S5qTHNR
ZsQm0hREsQaA0Zt20190nCw1tR+JQtypLzqPGlIkn4v4c9GB2osmRHeJ/lVsQlH5d80I98HEYLxp
SQjMassQlfZ5SaRzsi+607JJUHITowhOoUsls42yeVGrWlQnxCcEdS4fm6BFSAZtCzy19eRM7nLn
btJXd1HBNPwvT1nvk7zH1YhOttVntDRnbvpZedHSKHWEgpLO8LApLtU+hk12S4pNgXO7oXgmSes8
1dY8IEpuYp3VFGyy9IuGp1/0PHnR9lRVdntxUfwScrBYn1UpQddU43fjIhHmnXDv1k03jPUErWgE
1PEsN11xUui2UTFJ4xakNMLjehEhqTcihMxSI/kO9an7YSWGhal3ky4xxiNj9q0OHru7yJtGQ/bF
uGiem/rZXYRQtHciTLmGlqApVbzStIJoWm36aUeTYLubNlWVBR0CK/o3/7C36a4UDCLBDsLkcfYv
yuym0foXuZaqJHE7bBpu11J3EbITUSR2LzJv7LVYjhJ+m5N2EYJ7V5c/km6Th7t08NJQXWTjFMIP
EjK9kt+dKeVGGXebyFxbFC1FBIkQn/VNh+Zx9D5QRP238iJTJ1yD5l2fNPML4CHjGRcxlx1tU7fL
i9CtXURvbcjbeacKHpyQqwbv34a/8mheJPOm7NJ7pieEdF9ChYkUYl8c+BexPd5091mqej6Q5kCO
l6KZxpCAQQZaqBzXrarWaw5OMyL1m2LdmCCZoHAlXxrClYOZa3hTVM84mMOhCLVMkpy1mjx/U00B
4z8u/PsSEARQ9ThetQDTHcwWz6E8FC+ptVJplzow7RAV33UYCbzPaka7YDGK+LuTJg1tVn6bW5jh
cWixF+qXk7U6Jes8vesNPgJbme0sgPWITfD+TfxlHiL1pIGxach0Hbua1HUYD7gEI29NjZuOuq5v
SaEIfXrKya51qQjseWj1FM2gov2a0Ndusrbs6bhTuutGUBZMYg3Gtrawe5xOjBWL9oZnYLpt5gWf
tZet4nnbf8VhS7jBCFDF2OOReuOKnRSV/9BjJCZTnBVpvItjIdgT6ob2bcrM9RsBkEGEBmaoBneV
MXxaFD+zJZyaRbEr1Hm+2myrI+7Ikt6bFaHnvOlRkst5pabIxC15hfb8XBa14h1ltsFYaSQ2XLx2
FJFakFloaEOu3ompWT/bHG9zWI0YlPZ6bVjJlRSd/wBbjiIi3ycHcW1S+PaCzXDoorhfFhpCnUmt
RyO3ACvx7vbv+kpp2JF6Te/oGMYRe8zwddUPlEDawIgW6WCyIpBstzEslZEKwmHXVNTWhBznTs1T
IUiczfowfI7mpAGVGZSAeo+DARTfzHEW4kmjG9AukoQUDgFRLPGNl3+sHW3Nd5xFIqdsThPMMHVv
DXjUFz6FJh8L5EkSWi7P05h50C0KGurNcSUyWtZzDrJs3co5h5UoCqZGs/yiUVp0+yWlnDlaiNQY
+4QEfk9sdCV8YQ0LaBJ36KzpOZcri/5SNji43MmIH7PWxWze5mahUVrJ1R1Mmyp/ympuRjIflf9Y
U4JHz9y6lGfDMfu3uIenF7I5ds74xxqgSuR96BH2mpyNK4iPx3HA5s2WFTSRiEUDpilZKCEQk09K
SZIx/arpePymbA67xvYo7ezWBQclYEP3k9dA88uLxwwSCAbgx3XI+KHa3HYpVeU+8QH4aerDEf8D
csWovDvRmMg7seWtH4k26WdunqN+7RnS/JpsYeLq1KRiaJZ5coxB4qyBruvV3cJLT7AVN2G9wFJq
eDLTkjedO+f6Q7qUFlWSls4TOOq6/cxlbyuuHBw+PAu9848aRo1vrVH0GdSXYXgyGOGzsDKXCefH
heCj0vGhp4YN94Ynh5uu2SwqdSwkCZWJ/JHUu5r1QTvHOQsuLX31slYRS+nQUB6msW+/UBWnJ6Pq
xiYs6pFYLBg978Ep64QHx22TO5LjLKJGHv/Xki3+HWmhVIW+Tp0mklHd3bdyiX8UTbOuITdX4ojW
vNUAQnyjQSfl/GbWx6m/iw2ZcMDmbidJDnHGyETz6JcwmvT/sHdeO5ZjaXZ+lYHuWSC5aQFJwBzy
+PA2I2+IcLk3vbdvI+hR5sX0MarUXZk906O6FDB10ajqDJcneLZZ/1rfekD7ouVK6j6pCrCcwDyq
gl3CqBtcgFHqkaF2RtaGBEsVv2XCmQ/MVPOcyELsE1mYRNOHMNbaHz5dy0OoCE1A0B/IAWxsaQDI
qDwru7Ni+h8DoB7OG/WX7m1VtMVNPBfeTaS3TMfpTDJuTB7yZqt3khs600lRBesqP+/MRNj9Npm6
7NXNKH/eQnnLtZ0WzaUfUqKOaplbXRXvxllOz76A8bebTIFTUlmGV++Nsl5v3YvVboGI0DfvdZLV
2cskDmRRMka/bokEfqQUdILMaA0+mh6n/tCYTosb36D2ui5H8W1JUxw3Pnkq2EEajYqcmhKLYbhN
R1sOQa7d2byJG7Ab6Xgzz5Y17pKB1HfALqw9aT6XYeZplZ5uB+dr+j5W1AYXC83hBueC5J1s3qBh
+EdEQs1LNW9f1ZaunvGj83d1qIMfPX4LXZEwKyAR8YomZOA0wL8qH3uX7xg2UAsMjtwSXkVMTWHC
adf+r4xp9+tdmlsq98n/+Cr9r9mrLF/bPw8Rfv+UP+7Pwv7NsBkCeI5pW1/NWX+7PwuGCALCLd8B
Wx232D/dn+lcInvq6Bw1DddgM/8Tx9bQf7PwQgqeEy7RUCe9vzJEMNao609DBGJyPq4+vqJOqpWL
zs/35wYpPY2khF5pjNY+KjV3vO9AUQG+RDf8NlkLyIBu8CbzigUYvghqF60t1Jma0X6BiQajbi64
NixWA2+GjtJ1vceO0X3OZFHunZUtcK8GL/6uMAjylo17534C+HgnyXJkHKfIMGw4ZKZnzVcWR9eM
+m82hNhyt02L52ev10Q11eDI8oGWaOuO1JCbrJC3iXabemjjZz83KndXKF0fd4YGdinA2KeL0KqA
zWyd1KWqWOCX61LXf5qHBHCjdKomffBjwjyQUSjRG7VEnrvBJ5etGShYOEhJZ9Ox45qIeX1TXNlp
JbnUWw5xJ+RpLbQNP79whNMyZVUm/FrWuPSgV2vDdJyWHN/NpuUkVRiGdzks0/ipEUyV3BbnmnKn
JimhvonUv1cWlbtMzAXDf1HGiILR2ECeqXrHikPoO+nzVFGHflh6azR3Y4R/TKvI72xcfU1apMpv
L4d+MAkp+mP2wpGoM3aI1b22NaShzxvMDaIIVYUuESaen14N+HG+xzAFBi46k6VtyrRUMKxiGCJr
l7UT1Owq9xjB8nhb2N2kNmU3ADsZzKr+0XtTOgYuv8YpGPNSyR3nEdk+LoaVOdvR0ZNLWgUTmD16
1NMQ5YOOC726zt6w1WcvpSmrewma9jWv1uVsSKrmGqugQ3lWuf4ECvqVOESQHa/q2VSwPfkK1tbF
MOpfchCzjM3s2/oPUaXOD+VPlNJ6dZPcIh304H+wGzaBWXhpejmyj9s7O2v4qn1GPTrbuWJTnYdq
5sShxy6DjwTqalnYboKJ1dPuC6p3ibLa4/jNo3x2PsK6I6PC6s4xR6ac/TfeAH4pyB2tGzau8orl
NI3LUB8ykk3UE0lLe85co8eQp9cVTGV9IT5dj018u7gwHViTEWNwyRkfbjLgnYf/UppnswEcsfGx
MKoNa4r90LkFBJgybnxuv4Ra34WoVxmaMGO/1Xk3QPVTtsgOuu0ipvqRRhtTpZV1H2S9lmJaa9cj
Nra6lYnHDdjeI5Kh1xSkJp87JzaKICJyh6PN1jhl/Wk1vPlHD/SvQ3984LZtoSk6JhAbFL+fF5cp
0zpTLrzJSyJ3Hzg3FbQnXjkuv66z+effy/ilbIE22PWbOSb/8HYyjV+UwLH0FmserAwiXF6ELkur
FuA6by8ajfTYzElh1zl9fyBCimE3TsyjrLTs8PVT/KUZ+3X1CTWi+fzsLl+r/75+6jsU6ybGRvmF
HP/7f10Pn03XN5//wge2/7IjEvTawSf+9XN++hLt//z6Y/lZrsPtn/5jW3RxN9/2n81899n22e/f
7o+P/H/9wz+G6Q9MSv/Hf3v9wKP4+8z8vftpm6N190+/n3+Ys/9r/rqUXIv/8XP+2BpthuE+u5++
+kFcnUrAv22NMBiYbFuGY2Dh8O2vP/pjvm7+ZqIYm76HEklHLbPvvyvLMOMx9q+lyVjUmYv/pY3R
Ntdn808mEuFxdXAFOQGoDh6M91+jAiNAT7L7NdHBfHhSfZtqy7aoFst8oQjczA/9pMe+EU7Up04A
GOqk4o3fw2Iuv+tFCuzPqZlarSJytyO6J+swbbCD/QBo0MWvRi3tU+1Xg7hUxYqa0eETV9eOGlvj
zKNeTzcatkd5nBrDjsMK8jZesKnSmBrrLOHD4Nx15mqVsqox3Zdt2+EnRbuINr3tzS5k9bpR3wuA
ydqdp2yf5L3UzK0sicXu0rZ03XPvz/p3rexLvohSqMIGxAPp91xXuHBWH64O5ymdsRg/xChrIxA6
M44f7GTWIe8mPVBdbDamaV1o1sqioyeXDPCQUmq2J+k1PSwAbDA9p5hj5r1WdYZ1VSQ9/Jl5btTb
wPGHXHNfd0dmt12+8nvory8jevw2ScTfGF+XvzTf5CLwvbYj0DyuyeoZ1zp4O1XUmjgVuBGp9ZXJ
fBBMPNF82ILsJd6kUZTwq3DL1lP5AyCuvuvvOqHnV+0ICMNqp2+Fa6y8tA4LNwuzDOy4Y0yOypa8
xDWXF5m65puYJutzGDPnTrO7dbYPpOLEQ8vVANNksimH2iD0QF5T1kVyYS9+dq0Go7kw86LZA3Or
tonpWkSwZRPGjgBGmQzeczcmiND6LIqNgd73mJfMCLmaQSkUgM52QqzDfA4uB5wQc2hCgLtvzD4m
LilSyDOVPCBQ2LvFS/Kwx1HO/awy2pPrdj/6sq7Qjtqm3nX80DsF2usxxbK9sd2pv1PSis8N1s2X
ua167Bxwg9ZHAKV9A65BZUHs8nIgV7nDRS0xhFlt0tw07MahC7/hlDqwpHtd1UAkWlHc4TApPih/
HN8UHJ97XjXzWYuxi4dGZHenkZTlHaJc+zbgmnsZbcmgBeWm6Bkpxs0BGzFSlG4hlFRR27cMB43i
W2+iIj9xSCHbdsic2M2PbU5u7c0YIfkjL2cDrc5pYAoHXCHARBu17t10tCpZPlCrB67IHCWsYQeY
ric0H6eTYz5BEXcpQiy0HEBX0rfqzTIbb2v0sg5GCxt6VFH4mJHS/FFjryB3SUrRlcCVE6fK79ul
NjfTmAOS5V3f87RlthjuiIuK7sImRJ3v5wnXznEqU4wKK/A+OvjMt2GE+umQtqBLiFHcNl0b0fdg
m8S56SOM3AUplubFc5nU7equ6Atu35wXpud20mrQuImuvdRtHTfXPpds+4X0FdCyJlHSvLBLR0xh
n2okGzZNO5rtsUcbV++uakyzDwC4mmO8MUEzAhlLHXHdlbNwh0DHEDcAso0Hu6heynGaoyPyvyou
RxV1VmBSFzoFiLWTInGNyrG1XBQDrdKwVuKwVCh5pp6190ltk9hZ3KWvn12UL303C/b9Zs24h07O
7Hznx4hGNFUnXDakqTBs65QzZgFxEgI/ccE7NaCulDZrGZMD79JhtpKAk5UNqprBSX1jdm1ynTgl
kdoA3GAkXgdOa9iewa2o8Ur4UxSTjhAuImdPdSkiAucvgzl5YjkgszmGNPZ0ga2vQjWDb1AFo+lM
+s0oKvCJpY8BKfJWVn/jFdQKIJTvvTZNrCt7nWmSOpm6q2TUW97wqWdnWmD0GpjTcB40/YJo6cqT
Uzo9mFKnCtZKiY5XU3XZ+vr3oaNjVNb9cG02jh7v7Mn3cFoi0+8KWXFIwN7NhWXMJhwGFjnTNBh7
r2guoDPGKMGGqLvpRrYTQEG9KH2ouj02tCdQRoiiJJIRh0cGksaF5HQ7HJg3uOKJysx1RfVKtEUJ
C1telIYPh1TnV5JxHpfgRXHwaNN3nwAFsfy1TDTOiDYbgRyjZHgFE50nu6bTveJmFnGV3Ei7sSgq
mFpxjXG5kDsO+3OCP4IfmoV7Bgh25ci2eVlYX+WpzlrhPEvPquqzPrizOJAtxyLj5AxSBdmN5nIe
ekpN9MUv1uAPM2UCei1JwDGEtaN5D8yYefbIhDsLFzltNJPhnFua407oyAwOTlZWifEmMVzRHxUI
0+JO0ESSX40zUZPvBqISodZ4jI0aZFI+zMcEZql9TeQi4ukcjJyIksU+FLRwDjYW3+9zHofsZRky
N8wW7TWNAGb6cmkPLmy+ULWFe+OgtcbvqSt79awWW3ZHfywrOGHMA6x0o6tYdvLOrxIUxKkUXTNv
4jiu7zVgQepbOxIf23cDmAxi1eQfCFx5hKoDWPuZPC2c+N9TQfgEQzcl6gSWfbJH25EcSRn43QwF
3GhmlWDV6osyZCy6vOWEySFgZH75ONpsCZdtusweWjw3k/FocoevX6aJNQeCS1kV1a0+T/NlhHL3
0nDfgm6ser/55Nhz79Fe6oRO7ZZ3bukwfTGJ/RnyAT9kMx77mW2u+bQHJcxgWPitawlhIk5EJKMj
Y+6POe8mnkci03o6wpur35i7kQVx0jle7p2YWdO2gscZmwf6QLz5sdSIGDK2AoRHIsVqjCGsSXBR
V7sSdbZW0XeL3HR5Qro/qasSeg37kXvPot5G3xpaJphRNVXv7hT9jMz/l5KbHxRhrobd1gf23TyB
ey3Yfj2QjXxZRy4GQBXdFlyHer8qJ3LrCKTttoS2wRNRGHrSHtvaKv3Acgn1XaVMkgFYLLnqdtU4
pv02riev2fdMkb8Bp2E6SN91blzBsxF3tGf3CYDIPnIbd9foZnVdFZbWvwvpp2AggOmlgW9BCTln
rjPLczM3bn5PhqGbQ8I3snvUrGhwn5RkoT0A4mz7wIs671wxaZZHOXe6fUyIbR1Srj7l0bUGQumE
KbvGRI1P4nJn58TCdorLpROa2BWu8Jd1H9Sq61vLrIvnkdTVA5Z96zJhnH6wey05+QLFlERi8Rb7
cN0nLAkA8qrEGT7quUuLQOt0p78camFwUiw8Hg0EgJmcu5/X44/O5YqKNCShiu/l0FBHsXYPlzZV
GB7mubpx9lWr9/Mu1tBpMYv52DU3VW0MVEdkdeQAVpBLHaEt+1lPuhScqFZvZ9tuphMgo0GYm1EM
Hk+YhtHVDn13ac9st/EdEX6hwc9RchjWHJZty2vXWZVdpBhrdEwCUGx/QsYaFQmENt2XzP7CPvn9
yoAyGRKm+X81zv+jUmpiif5nF8J9Gf/b//r5Ovj7p/xxH7TIgOuuYTP3+r1Q/k+VX+I3Ewc2Xmwd
p4/Jh/zdamSYvwnkUJMRDflwEyv03y+Eho9U6olVkaVGDGP4X7oRGgijP18JLcNYr6rcTMlDo8B6
65//KcNgWMqDoyKdQLklxylQpZBox26CqOI6Y3Q1EeDygbWsDlunTFN/G43t8iN2BrJn7Qq51SM4
xXuOSr08T18cXEyNvOVSCB4dtkgDEkmhOUt+G8P8FLfyi6er6WCKThGAEmNyaq4perTvq6TmXAz9
emv2Ig/0DF3RI3S9s/2KCKE+fdD61UGsAOY700/FVDppP5fO0t8TzYyDkq6CrTcJrKMrE5jkIyZW
c3K6PTC3jq0aeLBvWUM42cwPGBKugOGF8/WpW7nDnWuBIB6/cMTDF5oYzinnFNZ0BKvU4VUJstjU
to6TKMI3K9/Y6TvPf4++sMfWWI3N1vnCIcMiAY2sSUj5dxonOQpavvDJowP9J4Cn6isAZytjeUlg
4pCYFPM6D2PyhuMGIDMDeOdc91RsDV/A5nRlN1uzQam5+4V0Lla6c/EFeqZ7gjPmQg4OADTiGHHR
hR96a2nETUOWNjYSDODTQ+JAkU5ni7Ni0qxwaWuhYoRUCMxpGc38K/5WsL90hNjOTfqFqIaXbxb3
gy3GPVu0toGqU966o0tBhX104MA+w/zQAwg7UTCw4wFSB/VbT6bbMvXuHpuWlbef9YZzuiBlpCKl
BeVK1i6yyaADAn+DBphsQ2fVOycoHsIVxx1nyQ+1qCMjsNvZ5RmFqYcgisOIHMtV9UX1zh0FZWyc
qkc/aT7cPOnS8xjBzA9EzgggILLj7/0vYDhOeeDhIimjYlt9QcXHMs3u1Bdq3Fqp44OueEEqTsin
OvXfNV5ZuUNNAFVurNRykqbybfpCmXeiTsCas+2VqUBOL3bklA8F8HOFY2DrFckbdlzmlA79Awq+
YG+rM4aNC/KReIsrqzjCnHpoV7h6FysoWg4o4OSOCFFyHg3vBwB3CJU2g1Uz29c14CdMLwHc9HDs
9QeuV2cGfq+T520zzd6zfTA5rcuQi1221XHIbPoY1K6nap6eVl14nIs0K6V6wChksV+Eado7ynX8
c71C5j2ulnnI5esKZDMMdfHUW+l1po2XPPFusqnMlVcPDiqmtgNi7EYr/OTGgWzvJ+KV6hBY91Ge
JneE554nZyrSvSVF/cDcRPzIvlD5maYkD41wduYsXnKkcJ7RqBpOHMnKD1hY4PYn0AlqB+Cghco4
WemVMZncVvHOjs0FqcceXnEO0CevtSMcGofswWhXPckzCpImsx18/Pkdu++5p+/qrXQFdWXG6lfj
zgKsQaZ7Ufs4KkCFzwWJQOYrQe7ltADhS9LVaSSPsHQXuJ7wYDcDSf6r2RoBhsZcD/xzVDdUqecE
QjgBVljG4cnQbEPocwTNhdPRBPn/VUHg0+dzgPcodjHkCv/UuRQViPqrs6CYcwoM0q82g7IopgdJ
HUr1Oq6lB+Vaf0CPHk0IPWpSyi+uRgYYK44jbcabfyMLKhRat+L/tb6aFfSvlgU5sgttZLe2L5Rx
hKgkOQ+urQxrQ0PJ5FQeXf+ruiGJVzyRmv243ttf/Q6WVekHOUQIVx5Ixf5YJmsbRMqRs8Z5Oq8C
mFgrI37XqOAuMArCKAFWfpQV0UPx1TYhNNV1e3ybHNH9wK28fKdrsJSGqrjMqlkPQP84e5RFiYrY
9y+Dyq4NPX+OVHZTjeVFJhsbeMN4rcyO89UCmwxft2IeMb070eLc1hhPOHxZNRS4mgo63fgkvjzs
aYxjGFJGy25y0uS7XgtnM8elBCwWQaFrzJsqGh8mZbdhnPlYZLouPqaMP25KaLV7LV6T+yBeuJFP
V7Fq+j36EyHrUsOujjYQsgfYQM15n6qmQ6uIgIxWETEkOyXrTn4S+B2R/H0WK64KqQXSDAj/hRFT
8iUjWBJK68F/9EMY80Mc2yj/VlSJ2Lb0Wpzi3Bu3JhHV/eKr8WIZ52nvidzc9/b8moz1U10YMhgj
5wprn7OpZ70+jdRk3ad6FSIUqZDZ5WNRZvqJ6rHlgPIrzjafGPSRjHeOjffX0Tu2O5fhjuIRX0Mh
P4zeO+sCdnPNjxIYiRDfF4nqyCLHERSHT+hUKn/0u1zbTBF/9chpMNubTbHPviLNlZbsPPpVtgtZ
lEVh0GRPwNrvoHshFV8py/zewqjc2IRZzg16tL5Rwr5qyXefYyyam6yKNEKvThK4TpIfLCES9OA4
bu9BViY3/WCZ77R9JE/SHUrUAuTgZsvlz7pj+7QPKjcnwj28HyDGOON24Ll+sVINCdI19GZn5D0x
hwVu96Eh3fINkq0DzWCyi4K38tLtwHUAXIyYvrwk6H5nSAwmCUlZoAt5mFDuDfJfT8DGiXzjSQui
qslfcKwgznjT5KEMaeKWnQPKIyau+pNnKBtPKLaUY5V6/4RnbPzAEjPjAiqysXy1WHF5ZA15q4zF
uDEXcAQISWVEVMAvwpWCCPJiWT41v9RvPLq5TrZZa/tmmrVLhxMXBTSyqu7X0366tZRBiqaQBiKQ
DmVlC19M0KDAYkUvFtsW7LC0dbQn0UwfDvO9G+VMUf+o1U1pUoqmsMtsBwXHPV6a0d3OHURUcPey
NNdbum6FXqLi+4iFFymr7wKdff1YC8Q8Wsty/Q4fmfEGfDTbsdmZYU9wjf6bsc8faTIw3LAVcwds
wac8ZHAqgd7fyPoANgLmXpPOPZRTz3hBucpxj8gMzjBu3q0b5c1VV8Ke2CxTBShUNPWbzlrXsObM
XcLPOczdbrBwPA0MpM+chvQ8nN3JRgGMRzMcrYVsust97C11sTIdURkiuByDqRpOHpoPSh9nEgsm
7Ty43NNcyo/R0zkwITHQqgEcEIk1Qx874bdbsaQDyzJ8XOgEEEKhriszdLVMgG7I3Ty+zczl3W7V
t8UGbjlY/SkbskOkFl6zBYLnUaRdDbmELdvCTBhqtn929OVGrPlb3QM67I5vrV7A2K05CPO+mhOc
OXTl2vpVby+It5bIWdopGKLWhyzRuNOGZBXVuHrwnkl56nelLtDFPK0bd17ZcpQpm/VAhxOD2ayF
qTo7kV3xSL0xVLXY5REDCwy2/YRkzRBgbCcRljVAVotDwmYAf7zpONYjJNd2zVsbYKbmFJtxKdDi
euz5S+CjcWJANa1y3Hh2DlUnNSr/QpHNTJ6aVLr1LVVgXX2feAk0faek/HYShKw2wh75nHk0UX82
BBEit9hHRYnI1FmUN9mIPiQu8/IjUS2GKS/ZFvVCU03Zu8+9zF3cFC44/huNOgIuCYKh+cE3S3IA
3DTqZ7Ki9APXORkFLMe8GHORL6QaaTUqd7VCAQ5rJuIfcz882YCEjqy91nXtL85NRuTUe7e4dqsz
OkH/bFlxtW+HsntldOaQUee7RRuirNG1Yq95MdvIvkKGaVxcV9FVH6EA8GauSu2EGTZVW8vDjhIs
zPiilbjo9ZexkcM0pQQTU6WsYumHZZPT25hK4wOvBL07sfY5Jp696Suc1hvKoxCkBNblNyz/5Qeg
Wet76ufRnV/7Xijnybms5qk5F0XUAzL0h/UlrN9jzR+vcBIM4dDm5TE2KGrJ7cnd4en0wiT333pr
6veo/mCKmeof0D/IW01VRccjEj9nv26Gu4i2cO03mXVgMx9PPlOanZkaF3XZc/xNeXnQvdJNZsTW
Vpso3OyhLrpwd5LhobBs7z0f8+6Oq64dzhX6GZ5velkc5ZztOjMPDAPWciifLSjG9ZYkeX5BQQf+
ZdeyunvPQjvV6qowAosy6aBl4X4gGVvRiTIydll91jBGWkzQcUUhn8VdhXipiC4XWu426Nj5YU5L
/YwYy6F0dtsDTuzVa+0uTBsGbeFvjGGfTSG/BumSBz4rf8CsB0ITb/PxZIk23s4+LNWIURXplQxp
vcqne8Ff5wE3FNb/PpecSTSoh3Oa4+AtkolpVp0/LIlOB4QiK3jgd6kf7NZ7IlLNGHUCcNwqwmWm
tyaWI2IzJkrrrjWWo8FPeEWjqgucMBdtIB0jvaWWqjrWcqCZiOPHdiaXCbmx0y7cgvYbMi4I0bhJ
tkVh6/u6zOAtlTmPZW6Y+QMSavnkSys76oPv9hu7asq3PkmXO4pX0n1c2GKnc+gI0bHENdVxPSNB
W6P4QusIlha0rEQVT7/dFteyrfz32DW90E0W2mrsoX7p25njiaSqshVUmfSjC6XFUgkrUwdGSLlG
uXcr6CdYeLHz4hmw8BljWsafnn5ymfbgQHZ9u7ctPKfd6Ig9fUcVoPJ42Q+xP+6pFkrIeHYagZLs
lPitf856Bgwx1v5TY0uammmJOTMpBn/gRqjrYwYrMq8Rx00cw47Sm0ebJX6La/9746YUkUO0DLRS
T/aSA8u2AyC/nYD8inBhwnmgWLV/Q/SYof1GAix0QsNc21ht4CyRExZ2xaWnU5CYPUPlB2Avd3S3
VNdzFk00m64Ubz33yzcgx4iT7TLttZkSRPKXzQGqjHPo/CK/91hqnxh9eUfGDcO7AaJ2zwRJbmNf
hx40dtrOq0z9IbHlY5db8cWI7nKpG3ZyMBk+gudSj21HQ/psg+Svy+QBh2eojYryM9G62970ugAn
U4W5iWWHXfa+6iNTbWrLKUjnwJe6GcfIPrRCp2EEHG1QyRYTXDU6awjyOdI7cvY+w00FW5PUbhEd
jRhsm2XQZSLNbEe2Rxxo/sqey7TnK+Oq9fG4cSe1R78icF3Xx7F0JLjW/opPf6JpqghA3JI4MuI9
NTpib0z2NyZF5Zp8Ku4shq93rb5gLyULyg8WHZwUhR2zGUYlFpGWJiCwmc8A9NzjOhMA/D9Ux6xW
32xjKE4tpvojmv772PTnTJIhb8GRbO2eLEQ+0tO89LgCZOu+cVD+tNHZg2lOb02rUnu2mn2R6PVt
ndtZqCfWHDayAmFBx/w1lw9x0872eFOZRXZJhTuJ28HytjqNRohWwyP36TveackOqjFCwvyW6l2z
d0BghdnIbqw7ETjjIYFQQtP5MhJr18dPc6qci9kbxaHWs5d29neLaunkGkZJo3JLFa5lYzOqpQpT
q7lxzARuqxHt7AT6fqy8+toh0Q5vFjFn1L2LsprGsBNAvVuyHxcD3rxtutJwdcDz113F6mAU/S2J
r/ma4iEoMW5b7XgiD7nGJqIZ04tXF99TvGWh6RrJM9llsWVDcx8ZVGbQY+dvCqvbZqKqFtozHZR5
jydQz3eON5i8yUY+XFPantILhdBW3JdmQxkgCmIYj65z0xKQUSBjV4bxzVIZu3U2QEwLw4e00jOR
xI4Co/x7xXD2KZPzdSwwtDcdvnfQdu9GO61xjxzyjwTwxs26PZql9y2xZ+SMeMAIsaRMRTT3UqfU
cEuoEqQscuiVUdhpoBZ5JtbAcLYkv01A42apyxdMiw/ZLMS+qNyTpzMwdpOEEJhbI2oV/lXqL8fK
FpRsa0mYmLzeBM/APE3jLqMUGUgsuCQDHV/X42fHAi9hxu0dXR5OEOlkkCVLTNDXrbOpaPGiW0je
pkj03HUlQ3PPJD3c9/tqXne/uHrKi0luuyK6GMDMC09gAawgz2vLNUhpUtxT+0JmHhbMXH+jVdtn
YW1vncmiNciIpqeJurqDrJEvlT9Yu2ge0xdynh/SrK7S2rcOdo7fx0ncU5PHd0S0XuOFX/msn60G
52uK3w4of0Ie30mSoOmn7EUaXC+aurypdbVz3KoGoGmAWIi7HbpQGWTJWO6FXz6gil9zhJtpMSaR
mo4YKjvS25VbfGowITZwxYYNOY9m17RMjSptkoHI1GVtaBw/Y3UqGu+k53SdNB2M3QToxGYkfr8l
umPv+jgBMmRzLHITsntAqOI8WIyORieTiiLGVHyMbB4jabGP+RdT2bTbXk19CA/5DtYww8kleiBV
AfODtghODZREag1X5GXhBTa/sUp/zyIJTXnuHuqIdadk3d0M9MxAQ1J1QA1BE9DMZYS1LI+13obz
GD0rmnaTdkqA6JfTluzZoxUXAkocZ2zdmG+xBojjHJUnpy/NPafd5LpLBrDdyxHB7jxT8CKn8l6V
gkSMOA8IzEHpsb0zvqfcbyvyHuhhefTrdMfQ7QJLyw44lE3KkxF9TBwgyJEaMqoYbJ2kGANLoN7Q
uFS1vBuEpdqmO1ozs02cw1sLEbco7RuKEjycPZThksS8Hi2NWWS+Nwrubaa97OTgkedqoh+0gqkg
yrxjFNcaZyRq5GpuKMkG8HrGAzQDwpDxeSndHyMX/GBRSX5ciznqgs4ABvKHikJoszN4YssjiKqT
jZajKopX0+ZYDfYZcg1kMTP/sZTNqcPJgKvhCpfn97QV9qX0I7VDcWWZaAGuGZyqktZHuZLuHnfA
FdpVu4V1+L0r5kOff854g718OtQDxY5Yw/KOQJhN8HYShNwG70hB0L3APRyWbfZY0JpDMCagnf5y
jPoXVTBkxxzSULOAx5PoEuD9DaMO6ia8GKiec8kAVl0RtSTfP0Cli+jMTbp7Q5Rou0oaBeXPjXko
iEJuCU4+kUR8c2rfCZWpMBWTg7vvR+Ej9NZteSQdy01upgvRDC26Drwd19rCO6RikR+za4Pkouc2
o/GbmqedBmZewX1x6V9jBInqN+qO+eL5ip7GNTQCbo7L/sZLCiHv8J0rEbZR4e3dKeLTa2dtjRk8
Izs0/oDq5Xm5sdW5DaubLsNRC28s79XZYqlWQMvo4Ii1+ODnPinoVKVPLJme+TC4bpyHZIEZeMYq
V/cGdJw0bNvceK4VFwkPNFucj9k+Tqwl7BQ+5z5mRppFRvKYdxCEQ1wGXOhYi3njtx69CknZFg1x
Ofx4IclRx3qVaSepJF88SleoDdhKhOQpqPKhy/jVFda7NUiN6arDu/Je91U3XRKMTI7j6DT0AMbx
Xls6zz3mydqv+Ncdspfxe1O25Y/uV6frT17Z/3/dsSauG/ys/3Fw5PIVAIP6t/9d/tkf+8dn/d+B
qIELVni6LmyL//HXgMjfAVRYneEwC86tzCnX0MbfAFQwpqBB0W4GfQOPrPnngaj+m0mCy6LVjB/Q
oWPsr2RHVj/1TwZZyBCYrp316xBHsX6ZhppJx08OC2XTJLCUMWrF8bc1RUj8qIqsmzodVhemp7qC
wgUKb4M/vWD/jrfc+CW5IhjqwgwHTkHeD6qJ8YtBV5haao2djpPfaW+Y2aYPBmJ+OFgNeVerVfZ9
ioeSExdHqG5nRlHkrp3L9aNqUJb+E/f5v/NioFcZVLPovsFr+wvtm6to1yw1m25aI7FQJdy9jc6s
hYU++RsyeuklN1k8v+r0z1+FX/AXv78ImN3hchumC6rs55E0F6aMPYEovD1bGSxPRqPL3h/QLv6T
l/sXK//XN8K3yFMlhGkzAf/5G+VFkRDkKLDutX30OMyJ4E5t/B/2zmQ3ciTr0q9S6D0TnI1c9MZJ
d9ccUsyKDaGYOM+kGcm36WfpF+uPkfX/Jbm83aFcNhqFKiQqkEEnabTh3nO+45M2kNqjeJtv4M/F
fBxOa88RExQepxeN9gHeWaINxMIQVKZfNdiR7lQFb1W6wJ5PP8BXMm/qE+sldIfiHnrz9QE/7+lH
tjOLivsiBS76mSEA/uQNQu5z6hYXWYba+PT1jjxHFyWCLfgQTc/Q+XSfX6+wqUuMMzO4C40j1BIa
wXR5ACHz77z9lXk25gumClcAozsYG6mLt6YfgBf67Btj9N/jGJGpUVkg0PBehqdvbP3cDqYDz4aG
x4doAP9f9fzPbwxJkYuZkt2oUZZZAEEY4JIGgIN0Cq83fw7okKizEA9wBk5/7Log97gkjg4XG9vL
646DMgqcdlxXVT0m6zG178xZLwPQdckntUK5PZlo707f7ZHX6AkH/52gdsk/HHwOUkjSAVEsbBim
EMEqvnIChutACA4rpy91ZIQiH6HyZ1hM+BgjXt7gYqlRgMSjg9rj8i3GxdzPrvQuxg5fsYIF87ex
k6UVJ8iRifXYrXlYLMD76LAKD6/XKhEjavMJe+xt99LUaFeUsQMO0ENvcfrW1p9+OGYoAFvAgHB8
oGZ8eWvgVs0hBvALjy4t7uwOKQchcMnuH1wFG4djOr4Lz+hghOgIUkrXYTZpMyIWsft714mWqNvT
Vzn62FxdrI4RluAV/Ph8/Pekc3fuzBauLSgaQ39wi/nCJn6SlgX8jvbMFHlsVHieAf3IBlJns5S/
uJxOvDCHTuYtbRg+yGF5KGvC5V1c0RtBR+HMizp2NSw38J5Aq5qwll5eDat25lrkyhPK3sZXVUpl
oqdjcalPU3O9qGU8c3dHBgYzMl8zmjCu6axr/7NZGQcBMAgNOaCSTYPBP9FNGcbwj7MzN3bkrXEJ
C+eQz9z1KkBjaqgHDinf8SRhKIfoG8ZQ5LVH9wrV9YfTQ+TIU+Qh2obpeuSZwAh9eVfRZEzVEGO7
dzl1VCE/p/0BFJc80EgzsWoX0k7ePjuyYjPmTXvdKdrr7PnsQWKML4ETmsSJyzQihh2I/Jpl1Y8O
zLmIU/Y0GerMSnDsmRpsC9dNJsK8Q/xuMoDfpxLBtq8vrkwapVtQVICVbHM8MzUe2XWxfP/nSgdb
ULfRR49uORIY9CwoCejMf2a+hjaHFMfoNgPerff4NytjmynpnBs8R5YeXzB5ESYP1tgSBw8X86UH
EMkA8j8tw36ZHe1+QZUctk7f0ttZIZ1IHb6cHkRHL+qu0wyfhw2T7eUb7UpfGamHbahXPNTUL/JP
AJ4/AanpdrrbWjvVJ/aZa67P8WCeXhcCZtD1wPEnSvn5KEKLAz7RwsBaVi26GlL0gGcVXyC6Zj/q
0iq/OaVO9Iimd5emmsoz3+jrt8woWn307LA5uhxOBjqIKEJjIRyMYjIeKPjPmyLp4ieE9OPt4mnR
liiY/lZr+jMr4etZaB2+fDkOayEk4IOFg/we7OFTVW0iNOhguwzQp1ZmPpx+oa9nBUuwl8A1jsuQ
f1x/xbNPVIpqTFP8MFjexuRbvCQyCQdOz9XOjqb62zA68dPpK75+oFyGvKAVa4yJ+DA1KEGnQneH
HUU5UGtY0T3OvU+IF+Xi3MaaYpGECmROX8MUoqw9Mz0cu/qfXf2a58QsfzCAJR2k1IAEvtGbJinQ
BjQIvZVTJyrAup7CmKmiRYXNpNOmVq1m/Dp996+nJ4s1RV9XTRYyDo8vn7dLSiDbZiYNcwLRyX+f
8sZWexP5/u7NV/JcrM/cIxfkIP/ySpwlTH8pWDXXDmQFpsRTaGhz2L47lxJ1cubBvv5KkUhzrGCf
CCfxb/nys4HUg7oCkIIg0DWL9icLCsZ+8MIwuciwGap6H4M4f2yUaPbZbNmfT9/s+thezhFc3cUs
wWZcYMA+WNyGkeigkYCKTVJ02bXRuDq1v8p88ye5XoXCBhthEIvOwYzPF+LRS6M/Ce/Nx0dq34Gm
0C7/wa145vrVC9ekxPzyvfWEyyHBXJugamnu8ddEWHd0XSZnJrYjX77HyPAE9RrBZvtgV4U92ilV
NZK6raO79Fs32/tGGV92vpiuaHRqb96iWp6H1Zq2DZsPQxyM/J4yYN2ur4hIQGtbSK+4c2IJtTme
7PvTj/DYWPRcRzehf7KxP9yellmqc/5COSqE6i/1rKU1ZNhlaM6quER4oF+11uA8OF0Ge1skzZlP
4cgcw7aORwp5AE7CYc6bU+Sy6HQ249FqeqZ367f3tgd0C02b6D6apubggbLT9qOd4lw5c/Ovl2h2
XKBIyVGzPOpsBzNcrS3IxSnHbAxUao+8jJQEY5OPMRgRHdPej/L8faxNzj+YcLgwUNbVT09x8GDg
DugBUTxwKCDxsscR6zmXEqTcV0OM+YfTLxhD/cEHT3ESj75g37PW4GgLvfxK6PFguraxSXv9YtMg
QtiGH9jwKWaks9ma+0RYxCAVJhTjXbrylnZeTuQRWjcfY4Iz58ajGDxiEZBB1ssuNVvvVzU3cxWQ
ejYhX0R7fgm2itOMLJPuMpY6Icou+S7sziE7rNFSaREFQodcky4TGVaEAckZugT9SEKKfIxdvUyc
3/2SwS4bjaYUwKbH9hbZEti8ThoOoTLIsX8iqqaRimpr8rZZq4CaIynnr6V5MD21blr80K2KMC6E
PnpKRX9a8qDs+zXAazQtiNrS1uYwjz11QwRaKq4JgAC41ZkwzlY1+LLvXCKlg0KzyR3N2a/HW/Sx
zXsjm0F7yLmLP8xo8TBycJvfh8Gmz+GSB5HSehdmEs6+215p9ENHGOJG8c2OM0C2OdsKorxSOkl6
gbAJL9VQ3SxuhYQa2Oq0xbQMDEdjCXA2rbuYt4mVp/Om7OguUi0EEpOMyJXDqdWwoHpx3RZhb4/D
lT44xLQKjgig52mwPtCW1odgkmNL7LdXVOaG0HPaGKBT6++616wpb8ZQNjsW2IhQEbPBqGYYINbI
daumh0KAvN1ao5/3gK78uglVWhM/pNBSvR9nX3DA88fhISkijUw25KXXacPWn729xTzSlsZ41xaW
2YREmJtQZxzU/SU6QLjXWQPyHbnu164Wwxcb2T22DJqe5GRFq8PDSiLjRyYT5YRSoqPbeiBg2w2i
00FtsWZ30w5bMUyBXM/ze+nCKwzSLiEPy+7BeG7oAbE5WsocEHAigNKEk1FNM/bUmRglDMpIFivK
T3jZWrQ1Afll2mNS5xgt47gyMK8sFWzJbohda1OVtUuLL22WccuelUiAmoD1L6SiZVko49LXQk8U
44gtpMHyYxet91C2dtKTkaq136KGojvdsn65y20AG4GJ0W7cmEo4WEX9yP9Y+n3arXE7NrLupc0t
nEraKvXB5xImi690bDOqbQMfYlNJi3PuPwJqkAJ97zT+QJbfAiEgh+fbUorkI6OBx4BgEpVnpk9Q
JTNkz7HX+2bgt5NtXuakQiPcTFZoKnLrrn9SQAuAD88JADdCJZWGtLzWcVcLSzVhRHh7sZdVb+hf
SzuCfQpNMSbbvkmaOzlCFX3f4FbN95Wz9KstH8gA2wr6aEFhwCDeK4Hx4zPQUksL68KNiqu2nObp
QjpNShfYBMWC9HLu7BVR2c9fUYyk9wkNy4Q0PZS04B5LUIxjp3tfFJgSY2vLkr7s4urFcqFRbdM3
AHtoyYvZcWk5V8bHtklQwUJHqJOLyFFmF9LhN7tbD2F38TWW8OO3Zga66n6oSH8PRxW1P8m/LC00
MUvB6UXzRusXurkcTmbhRPO3AXljRMUymdeIb/xGwCg0079ObaN/mvn/1bsI9F/5LmoKf7wF4GQN
oN6daEEkVzlumX0YXQxp6KAVUrWMGVBsiFrqCfwgqu52GhawyaJkx3mrAPsN+3SCRxdkY6t/0WYp
waxSNy42CIKj9ipGiznsIWbZ0HwrUMOkybfau8EBirUd10EaeANZB3c4qTHsjJmGY3rRgaCG3TKT
rpD71NCJ1KiN+7ZpWjTUvVT7NbpzCCyhJTcSykWyA0WF6qZIEKs9knSQJXc+zsyFfzHzGjRLSlgX
LJF0TtXgG+rdGGFpfgLIYVlbT09d2IKlTbMZ3cCo3QzZ7P6OUE1gikrhWez0fKxwwfpU4R4qfL/9
tTsAvwhwv5diN/qm+m1jauouqlKWIszniMi9vohEdhnrRvZDX2ST4qDSkaVDYGu8oEB4hvlKGEpH
fqs1AjdAtJJhmmbWCPie/PeENusRmd0EyQZtR69mM0h9SkKnkXpKLvHQAkUrTFlc0xIuEcvQ+/BR
XBXloygrBI5d1o7sToa6K/bTbMohHBDLfKk0qnyY4bmlIOod/bsYiDLYpKScX3bRUuyVExkafjs/
+zX3Yv4Chze+dRGsvfNBiO/Mws/fGQUgrEu3HFsVVD14BBpys7ns+jpFbFCOmRzuRKn67rJCYWHi
QqgmhwLGPOtAFBWgUHcsR4hbTtVWYQMyAcqaDkwiXGZmZ2ShmY2mA1XGvOKw/TQwndKZt4VlGOVd
qcsSuR/iQ2oWSeqJrWsPy5XqZZ5fQFRQGqJ6a/3DSCOILF1S3EJDUfJuOi23om1dah0KkWJKC5ha
teXtR89tAEdMXsIPyTWDbQ5cM8LkUA/HCECalWbcJLgGafo37SWlDfuDStIBDUdK4G9g2ctCY97X
W+KgHC4WDL4jTMwQqXVPtV8vrvu5ipwQD+BoB4AumcQ7uod3KPfZZzR6i7o+d1sOCQh5l1+wZoxb
BD5IR+DmuZgySXe4N/guuhva68W7vo9jdAp12kCziFuWMTnpRbNlHbZm4hgjmGKYdpovdaabD6U3
s81INNRQMB5TANQ4sRE1WymE8pSg2zEY7dH6Te9D9BsCw400ZHsTT2R8IAv6UHZ9tc8G2BZB5tuF
jviwnR5suOr5TmrAJzcyMVMRaJJjPx+7nG5wN+oGlSwV/05skTxliFd6Rq6LR8QuC9oaRex11Zap
y8l2aGJIcSBwGEU0a3AGh70EyewOrvtOOI0LEFcO44JqsfG/geJxaZJgo/pMgnuHSTSWfR26Q4ss
MKMoCVpkmG5ixhV5EU2K5L30IuceXqdzkzZmThSiEt8HE6FzaKVj8sjoxeiTOl51NaGEZ610xjYP
2JUU6wjS5jLwcLNZIIXa+k4ZnX/nTjEqE47pqFkJ1uR5DV3/A0eF3m5HzxTbxZRuFUxiGVlmdH7M
ZsoL+RvRbfepasYKd15nX6VARSHUQGsqQ6VN0g6giMU/knrGqqHQZcEq7SIIIVmrSzIsUINo0EOY
FtMIgEEXI9YNSzYR841lWOnliAZNhs2cKOIpq5RkGV9WjK2mcNuP/eJZ8qLBoVMEfs98vyFUduzv
pkUk7LwwY/SBGqlR4svIO3nplHHVsg1LWjZjVYNbQFsySKpmYptY/jfAKCq89bqM8qDveegbEiQZ
S5aU5d6EAGFtoyaBB6Vo4UM6twHm0TPHorDFV8jWc7EX5MrUdov3S7fgjdN0sLVbNNLM2bSLuq89
vlqIrBFCl1DTYPTuPAxTS+jone6HhWTDwJohsycNfC6YKGJzhu3idahw4mTkr63JYbgQdab5G9Mv
5iWwjcX+HcNiJz6mjFzjziRJcmQPnupAStBmgRc0bPR9sUzwfWjzlOihtlT87bKyEPowQUzpXrD0
fcL05y/btmPTgYsY2diFMXeZjddzYJdTtylGCDeSk3/hFO0AabfukN/antYSNmOXn+pZFmw9hbVo
12WVuE6IJbx9H/VoU/HkAu1B8I7vhIlExctu6M2qCSfX9Uh+rOxmi+GqUUHjdkIPPNDv2qY1FvIN
GsdrvSvPT71f7O/44mRksh8fdL/5qFHEGTYd0T5walCjbsiHSj/g8XTb1bDS/wb+79sbLRUogrKh
B/XS9bMHXCpPlt+gWfyraoK+tPXqyXqf93K5XcZCfZ4bh4Rkg1TVC28pQZBXA/7zwC39DA1QZJK6
iBjRvJRG7F+TdMCPcNEw/fb0vkmCpcqTKXBAnOFnhbCXof1KOSCgK4pJICUyxGXf78y8VragP53S
lBgrJvwPQSuiGb6PvVJyWc4QWlWiwCajYb9H7+31/D+kT6qPdpSuVj+pMGznVYv9iDIqQyzil2/B
MCZuWA8Tds/GmdOLenERP6PAhZ2tlKYzFEhBfvybm24z6fF3axjhNiaY+NXxM+Jt6qbRv1Eqww0k
YocBDVwGbxPksPVnjeP0Xe9RXAaxnzCUuwyTCOOJFYeNpK0+qgXQyb3lxU55UfsJ6UjZMOPgcUds
NOR2MDYFxJWBGS9xCTtoe/WrE5jTVeHzA6kEclKRVFkxk5t/TFVlH70jcsD+pE8VJ5ca+hpHBuFn
Y4A91gA2WUygfqwYjgrBW+gIY61VvzJ9fY61MyXDto91FGuKHAk7yOyOgw77quQBD9RisNuHobWp
Uql+6bHN36R5hTFf1iWa2ssq87mCtQw44Vnt/JsOM4q4wQHM7bDP9W8ypoGBlVrhik8LxxVbttbr
dzgoR+6scvF2yDWbZDs0hvEbmHb//XTd4aCyY6OagIwLbMJmbIMHPKjJE3OPpNkSRLdryFvRxQGU
u9DjCIJlFgFYQarEgcwGpjIVQNBOX/xPbfhZkfPvq6+lXBsqoO+aB5Ud146iFvNRCc0N1SfQlTjk
MGSyL/Y+tw2hJe2I0LIb6nhb8ETCKvPmfVXBlDFVHG2S2em+aBZj6MzvWiuFp37X+tSelX4rvXUd
qukVxQxyCLadgZ9iU/rVtM1N/XeKxdBmfGupvukEFXZjwNmfg9QhGFtyHiPq/evpX3RQZP/7QZGI
Q30djCPtqpc/qEXhyMYpo/RdckjGNKew5LMa0Absa+j6p692UIr6czVKmgwI6qjwP9fH8+z2G2VX
KgeSD+fd8b7bqWBLFalSIbKcnOk7GfHmmdLtsWEo0LpQ3HNXIdpBKbWKor7OewxVdluZ9y5Umw2q
eW8bD1gYZ6n7+6ZKxqC23DPCk9cXpqCIsWwdgVz/UPU2u5pTgIflOFmBgaScOt/OaIquCYRlfppA
8oGRwlHhFPHu9EM+KOnykF9e+eCVejX4WZ1sVdz+MyaeGgqXf8dEML3z2zLFXBAtLLYttMrmU2l3
pryUSY/A//SvWB/sy5HOr0DhiOtLCExTB1VHrCR4YGy+QAK4dY6sxCWs9sHL01d5PaC4ChmeDCYX
UZh+8Hq5dGr5Ld+TpYzhykHajTDauPJapT4IyxRnRtPrR0tzc4XUUGugZ24d1G2ZgB2/tbiphT/9
po0rxDNvx73IFRhQraBVpxFduHGGkVy68a2Y3vXNCuY0y7JNl4n14G49m6pRqfH5dAPH12GKenI5
maigPly8/bmylzYQs6EUQ+Fx8KH6q7I/pZUboeG+JLDBwK0HIzPwhMb5ucuFuPsHV7RQ0Oo0+9Z+
+csrGvqStZxwq02TaOpHNGsa9LRMpBsHZgRMy9k7o7g4NkBRktDUWcW77mHzSCGQsWsrZiruRpZ1
f2l6qAiil9WZ7/HohVDb+bQwbd7aQXcRjDqgY8mzXHD3snkb2DBPU3vmKse+BLq1BiJCRGGGfrDe
KuENC9nHaBzGxHE32LGXC4A+3RYCCZFD0BrONE9erxzw9RDiIF9m+0CH+OULc2sKqLO3DhFD+g+q
WloLnHYstO1YkMhwZjo5aNX8mdR8DPo8RRuD7KFqq/bHYkRIxdAnxPAJUxArBr7qVC7NjdcDqySg
fpCfT4/JI3M4q5VhYexHtUiD+OUtLhG0UKcmOsJLk2THK472PRWADfT3XVtE3l3D3L+3rRmW9+kr
H3mbArGw5SPlYG47jAymMlrjfeNL76PRezSN3MjYshjyoltWc6KVVNvTFzwySNcZDaUabUde6fqD
nq3MvfIHx06ofpYWSTWOIg941Cx9d/oqR96iMF2+NvrOHvLrg0Hqz1G82jZWoUZuTGyX8z7bWz31
5Z1R6R3vM9Pnd8ZM1OSZCe3olVmHbIP1iE7uwYYw8rKZEi8SEUq5HDAmy4wIPubb2Mwog76ztABs
ADgjozMXPvKZcD2dLQ+9Pm55HWPPHmxHi0IMIxdeEaNXfaXLrTtp2oOPjf7MjHbkHlFZWei5mM1g
Xx4sD22hm9guSwSh9MhCbbWfTg4xEDxVy3xogNN/zQ3/nPjmyA3+aY0jp0QIbq5BHM9v0Gmq0fcl
H0lq9E6od9BxKsqu+1ifljNfxZFB6hN/4SMyQgWIMfDlpbJuKEnY4gbJVLRxw2tTqFrnnIzp9VVW
wYlO2xRSDrqQg6GiSypzaYssTiMA8l2u8morkkye2R8euQq7I4P/MHuiIDiYPkHGNtST/WqDMwwr
G+bNABia++bPmq09n5zJEo5t5TB1k9KgnDjlEDE700p512XQ4sAyYO8+M8yP3A4Ts0EzH6ErI+Hg
y7akbceUx1nklI6jqTS7gGjAb6enj9ezIgEoLDfeCpRnSTgYathpDDXR76I66ORXTJ7pvKWVwN1B
9DO3+Zry9nj6kkfuC6UXlTn0V8waxjr6n32+aeUiQirYTFsWh+Uu8ZodTIopPH2VIzdG9gJbH53F
zbUPr6IQ5cec/xGY+LCO6yIRN2jp+p0nqHHigzynTTx+Pc4l7h8nwOHCJk19FIKO1QY2Ms1QYrkg
W1RR7NNU17P6YZw668fpWzz6IFdVN6sMkodX9YASCL+1ShPnpCKiSdXYxutheft49xyUno6DSN1D
8PnydVF7pW49scCMhR7dexNI3z7L5zNmnnWcvTzboMhwWEowEhHKQzTui0ERucmAf5gsAAul/y4p
pj6wMqk+YHACzac8EeR5PLWh2QPLP/0Yj7w5tltoyddYIUMc6qpkqqdti15rU7t2/HXVe3xdRt/u
d0VNPW/j5goK3ulLvl5WUOfwwjgP4BjB5PbybhNlApVxp3ID3WDZO9CsvxUaBLUbzaRmcB/V0jIo
ySa0WE5f+MiQwdywhjow2eMJOPjcsQGxgYWzQQ9k0O5INSPNvWnUm/ex3B4uPMxZhssDO7g9gAJi
9D1CS/3Cq/Y0LBFFoAUUfApFUTpnBuixobMuzWi7eKIozF8+zJFFrfJmtCCFR607c+21rZNqNvQp
kRGsHc+3hHNqezoo88e3P07BY0Rs5TF8nIOpDHZAS/N7pS3A6LonC8Df1rPhBqevcmyAEvzBnplP
hKPqweOkG9fg+ONVle7KJ6w07Zs1oVOdc7sFigPQ4/T1jg2S9SQvKCixNhzur5alh0Y6Is2J7BqE
/WAPDUg3Mon7M6PxVW4N94PMkDMIuw/+91AqlwLSiLLEKjf1Ekm16RDukM4KjL64cIAwVFAkAJ3r
0iINGQNe86ObEOtuwCHl8sxvOfKQV+kYxyGeMSv7watcyDh0mwWB4IyOnTDPfSPnXWYC0IfpX4an
n/ChgIyFlkHDyRU34VoNOBSQwRXpKMxRAM+MKAY+W5ZRRhcJYmBDwqvbzqy/GRioonG66poQsPaL
gRsc+ZQ04dVRLXCqH0azGNNFMWlOglCEyepamBKBS8TR6sw3dug4/fODbVzh7PN1ZHaHRqKp9JPY
JdRx4/Mxl9tUDvqtmgprj0y8uoi8eJVitf0+AceC0UIj6JNcbGGQWja645kP4vivwYIGqchlyTgc
N5k7FIRrIfaLlgXlF2qU9I9TxnYCIOrDO6dMtEtdSbpERUs/tiD/XJOzhwgx098my/37yTz7LQc7
6ASZdob+d+XLgqzEOlkEKjbPHSaPDU/GCwZUKlXMNweuoHoGfCxsrhIPbUI6ut//sro2v5U9aATZ
c/I7PUKPzAHs0Fw+SdZjlPLrnz/bpNnuotcYdRCxOla77bQFEetcqjPPbv2oDlZ9rrK6XTlk8SoP
ProJfWUxjZw+kJC0j1EWE8ZKvPMT7uZzG4yjN8RJDveRp5umfvCa1pS1ksY51Y5G5CEKzmHbQfo7
s405ehXQ0MxmVFRei29jETUm3jSUTXHq7SoCdEaQQDGoyNPv59iT81hdeUd4nChpvHw/HUcGD38n
FwLbvFvJVKGopXggxt368E8u5VCgXbfrOFFeXqrspx49Di+pmYbmHRB+tCXkp8tVu62yT//gYkiI
KeyxcSdS4eXF7BIHj2uyjcb8luzGkVxwDfVLCL6h3J2+1LF3xcaPZRXHIvuGg8G30hvdHoEY5xCn
fIAZ5d3BI/LOzFXHPlxoAWItOrHAHG5sq0K6tCsZdxXqWX0zkrOAXChVnxPqXjv4Wnl4+raOjQxK
iNjPbKLC8PC8fILWAN25dOkSAuRGTryU+qcuQ8vAaSE587Je3xs1GIwCa6Ac9ZFDM42yyScCAV5u
JtJl9knUPtRed4X0zr3Qu1SeubEjV/MQ7mMU8tmc4PN4eWNqtDQs3WQUo6l0r1ax6EdUTDCKjXG5
j9okOrOLfT0+XGY/khTZnHDMNw+ul+Iosw2tRk5CHPFjYyxIcyxTvT/9uo5eBesInzFHOPdwXtI0
6U7wpLCuNnH+BJykuwOOkr95FPJ+eGbrKBSs3gdjnSbAEjceQq5KzvLeIHSJ3Okqa6/sUrlfzDYq
fr/5thiCWFVwzP5pnr18WZZbEKOVcNDAgM8RoDR/knL0RiMwSy+nDJtpiQmdZuthhcTUxqipFsmh
sbYsLJcREOIKhU5AnnU7bHTe2Znn+PptMa+jr/c5qbJvPVwWWyA/zizp9c1FO96IJYtAhilLvXl2
F7aDNxdPHLM7p+6XT88rSU73fAsalzUQC5qXv5aGeDdIP9Fbb8hFaiX4nDh4m+vB++WVYqS+2qi3
ZNu3c/pY1lqzzYfkXNX/9Uafy3DiZT/ho4fCpfHyMgKgReuR58nGVVkkEZGUa10rKGPWrRybQm6B
M8GggoTYTHtsQb58oJvKxrgy2rOduFcvkR+zTiGc+ZlN6Pq9/DEFZ6kU6CVx8ASp1UCGreSGENry
rXsBlhYcowxMJkgXF+XLy+gzbUx7LRTWQnmhb6lflaXHf5/V/n/oZvpjeA4IovrOG7OeTUKvcjeD
X0/d//5fR/+lf3OFLAEECAKJZ9JmsxnuDMP/4goZf9kmOBRawWtbETPhf7hC5l+ARKgos/oYDF+d
DVBfj0PyP/+HJv6iRs/fxiHWXyUCrLZ/ck7/g5sgs/T/ip+w/mzjn2+IccavR8PV4kfZhP33yzED
p0SSP4NB1B2kpkJB3w91xdL2xPrVkO5XrdPeM+IBWVZqTt+JaJ6+09nOn6TocuQ3RB+tCVeV89Ua
0/FpzsY+CrEwE6jsSTH/RAA5qtCecOSEbTq7D5m2zLA9acTlePNr+/dAif1hTvy8uJ7IkdQ3NYgw
E4auF32KrHrBs5FrEuWt43X3OXpfaJ8LMKZgHKRRB+ms4BIlaW3eGVFaPEapeduhAiQb2gaguRmV
6gGQwfb0Nt0yy0/SFZqzhWOb3y+ZklOIRNO6WjJ2t2GWFhWlbzCLAj1RVV91Rl/MQd2o9NuksrIN
LbcsbjXd7ZEdFwSU4gqPOpj2Uh+uBzCEFoqoIcY0hQMfU+PUmzLopmh4rydCezLblnREaSDtCnl0
zRMuzv6e3LpR2wgJdHg/ZUuch4ot/K2FIpVzee/TbXZbOV4bVlQ4aO7L4aMCN5vs12xqA6N4ZV/K
NJ3HLV24DHG/yBv3qnRnRLiglbPfCzt7pJBkkvekgi361VLknr+P+yj7OESDuEskKdmbJvXKpxIH
QEWKodG2YSQi9YhkgHATKvlRfpGii/26+gq9jTWINtrF+I6BXhpR8oO1KodJqCV59VARZ8pO2hpF
Ivd2b7fuzulVYj1lRVN8hfHqd4RrTkUccoiPC9ThVlHEG9MaLCtAP5E/jrBX7lS8Os+kCagw4Adp
9VMulkVcN5YbOTc4Q0ZXAumHzxaUwOLzi7Y3ItVu9HruL+FLaMsGR/ua82OrBny5awz9zoBxVO9r
ViFn74m0/7ImxNTbtVZMWy8d461NAIcdFoYPht+qyo6Ec4+o7E08EQ4eWq1bNQHH/GK+R+wn1MZG
0joFtJsGb0Mn2Hy0cpx1YWz4iD57VWkWzlnZqUCr4syD7q4pvoBmpV9KH9IvigyqUdsefPtFM6jJ
vjKyYiiQOpWF+sjHVX925Bos3mh6Ud/JeCisYFkNXfQWRjSeSn/Qes2NQt+MjD30LeDFiXTGeW9I
ozM+V6lYil2TIOPcNLqE/pt1o3po2Ut9KwWuCQyxceYHeeRNxddu8b18n3tyRCzvc/LHXLwCG4W5
eN8IGm/pDmZxk+1rnYMmynnYmJwFq+ZrlBnjLch86KOFXc4PM1Afgnl8jV8Ju7W8Rp0/IqNWJjtD
vDMJDwPwMCmmdfexxR58DZrSfIzxQRKAIKk14B5gDF0YONk+x2VtYCTrW+PRSGvN3FWkBt8wcZGM
Ged8Tls/jYofjL9iRjAprW+ZZs1fO5PrbSe8/58I5EA77KDyvdQGQaBF36QLWMpqQW5s5nkGf98v
biGdu86W/bh200HO7LexJcfPuJaqHntX2yxA/mrntsCyWV9knnLzywE9qv7go6LH+7g4HXazLsE8
krdra9D2eBt0CfvoS0xcub2t2xiWtO6WEaNHV+3vtGk6i6/cQc1fzlFhMN7zMdsZGr7WINVk+0VN
XotDjyjLdV5JrRsFSN8LF0NpMzDm2SGOEAJhTjHM1N7Rzq7x4fS19dGrXFSQYB/U5ZwWdsYVG+up
jTtUwk5ZS3ldOj1ukLy09c99lnVN4JqxroclrPp3TdlQCVadYdcXURXnDz41TRnwtXXLbd4r9Sjn
HNR75BBsaMWI8aeyzDca0RM9wrxKhXkZGYwkr10Tjju8GhuraFbRSUeSBOonZRIampoqvyCphSwD
y8YZcaHRjH9nj6tsduJDeEgxp47b1jb7dyXhfU9Y/qaJRaFGl79IT/swiXo9bzhWfkWr9iaz7ELc
5qacLuYVk3ItZlMBsMfr9SEiCXC8oejs/67QeK0n8jT9mM19XoEJ07KepJC+qK5ihlW8ow3kFltk
BQDkQYIIf896UJF6WCBYA8Cbju/zhExFsh/WKNHKrpD0Mk1Bv5zKXvRBMhd2FOr6QA4BSzQiY23s
iz/ycCPgTIEOOEr7+MdSJbhFCBFbIxVzfd4SIumYlzNnzR9kHAAPVgiX/wCi6c16NtkZmBTKgaUW
KLwKlmEZ/n0yeNN+7/99hOSf/t8phORQ/2sPRrOv//Wz/teHsXi+66NTvVZZ/r3nc/S/wL+hgaOK
wxkYKcd/7/kc7y/aU6uGlXYYooT13/pvlqTgz9jAc9AD6aaLlWn5X5s+0/5Ld9n3oXPTOeCyu3/L
po9q01pBe77r07Hq/3HrM1tw3hNr5eNZsTWycG1GFrGfXYH9e0NAivWpB8o37gysSB0t5W78JVU7
f81GXK/k0RJA44+tcdmYagpqURkfkExNIWmR80WlsmuN7LYvBlbaH3Hn5fc5oWR3w2gC3JtieYl7
TEF1rxP5kNhWYcIrp9K7+Clea6FjokgjaXybbVeS4UoTdsrK6svkV8mOrAPwDHlOKYRmxaZKqCYA
+rH1vcWR6pNtMgNt8HX3OzX2nbvTRZwbgT/24otZDV0WVILkrHFM80fUYb6xkWW2XBDxWf/0LJ3f
3TbiMWUxCClkvK99H2GRvZB+tVaGPvXg/QkVJXSwdrEp07ZGkK+UoV3breBQnuKxq9EgEVOo8MR+
z+PR21NN167JXiW2g+yx2xog06NuWtl4SQgqHRh7aDX36598E1YbK9DR0geqmrw0ROBsPdqoM9/Z
Mp8+lr00P42aiw2iXucO/f+wdybLdStZlv2VtJwjzNEDg5xc4HbkZU+xm8DERgAcfe/A1+eCIjNL
omRSRdU0Jy9ePBkFonMcP2fvtSOF8WCSE1fMmyDvYhmKTUpNVZ0w35nLVuQDfgeJ+XGT+eZq5UAb
QA59oe4FRcd7la0nyKMyFGB1jeZu6j18jRZF/UT9CLS3TRvMcL61nE+Th6Ui7m0yujg79JWMavAm
kOpbhlDGyWkR/FuqG9ldYfa+3HqpHr9HJrb7YIZaOW+7et044PqEQSA0azqbah3nBFG2z+DGoytv
iucqWMfH1/RS2LPCsMae6eYdwK6BaoAbSVUoyJCfGUo+zjZmT0n9iUkP1Oh177O92Obwts5myyaS
EENDR0yqXt1EQ+y8TZh00d5bDVYZIv36riB5JL9CuDDPoedV+oHphqyBuoviqOuWf+XlZvIwGG6/
r5QXfyGxAcppH2eE6yyt7gY24XADM5EhOuIkMS9b3a5OTlq7N4lsk2NpqA9Y8RJ10yQflTfILeKT
OhBm4T/XxBp8iSYdy69dmM2XDs8QiDwtf0wny0yOVPvcoaiZnK2y9PLkkLH04qvZ1w4id1jxu74s
w0lQrRCdZnkX32PaiCCadcyelvw6Yeryrip74m6O5CmHljkMTyYuyqskzWHDErIhl2Cg5ZRsMx1T
C1Jpgs3jxoquEK/gmsnx9eRb7CtefCZsMIubvrOkBB/vwWLvrNHbe85q9hcDlPtzURcCg4ZYAcaT
Yy9b2mPtzvE0ArSUr/ZkTcI7jr6zjyfZE3bEI5GApk+mawS1IJItaQMYUEU5kMNcGVtZ2lJuSFGK
t0tuSF7lGshyu6gcm4z8Tl9u2Dnc1IVpveMMwczzndTMOEH/wqTF25Nnme+XxYZ8kHmB5vR8zXs7
tbdyhUC733nQ03c2dPudEy0wmd6ghqi3thN9s79DpavvgOmabZFLcEIaxdfIzIBQNyMVcwX2npfh
O6uasYS357PBe4m90Y5vp3IFIqz7igl/U2US9O6xUmTfYdixwWu6w/ZEuFWkPOgMGL1hZ4sxi9+9
70Rt+ztde/lO2v5nflLKD1XH1SGaH6B+OcfCE8WpJzGJPcgzeaVEwMxd9Da6ccdmSXRHJ61uRL94
BFklT2mesBVRyVbqVIiLtN6qniU+IvbgPUGJvhnMKL2wk0peTmNxcLQm3479/NAn3pdZg78/uJdz
2p0NhY7/Pj8Viffuxc2dpstTZbY3PkT8jZtU1GKKNrzSqpscWvEG1tdNo4gzr5fHKDbfsgFIKZr0
rYrVDVfa3RnxLINUd4r7brTsx0YjB477NGKhrCucPMscwlgYcIcPdyTPEVrh20FbZ28uAZGeEg7R
icVWc61nZ/Zve0I8+LTcOp3+xW2JPxRGd6iEuMKwdh7pgtzIfN/W5RMInIs0GS+g2L3Gwjg5/rBT
Hr8xHX196yqx66P5VgAYd20qcOX1V2gmw7HpT3mlkuvW8HfR4n0tDT5IDa7FjZGZryPYkZqIlbMU
1DwfE7QLC6BR3oCxDesyP2nk8s2a9ZbZ8qls4JDH3p1Oudb6xv2ExzWgBMg2HbHvRJ73x8iYnr0K
lzBgktUHgqEQEEs6f00LUmT47mCn633obKkBT7fS2ze3c/Wj0Jw66AhqZCPqpeed72PTy/z3CjrO
oWq0B/RUfBAIjNxgGyGztZKd993Fdkr85aG38+U2s8ZpF4v1g2fx9WDux1Nc8hH0QKRgk2taD4YD
6ZREjeMPtxb3NiI669GcpDiIpff2Rd9l0RhaZVodOmURKeQl1wnv8I70JP8pKa322A6kg0hP/0a6
Xx3Sm14e496Ld6ObvjuLVRO+UKzbYc8jBhDTHiE2yLZre4g+cIcim0jdEVLU6F7m9ahtBet9GY4J
NqzUpFpBMT/uQDSfcs8mOTKL640S2asi40Dz1IOWtunO9eOECUja3uCkvylZjw9WI79pgzaG/AYm
25fu1atoPkCPyHdF1tnbMc4UXeUmsYh6N7ItcSgvqhpA29SjwqVWlcdp1gcA8L3+GsvBDegSncyx
ONda3Qhr3b6LEPQeC9G/4O3M8bCipuZznuvXvXJ6lA42UOn+Nk6anUHqWjAmVnfZRyQA53g2wmpu
j2kNf1S2xm1uZwdpsIRnQBk3FEYizK04O1RUcWhE1aE2I7njDV93n7pz1jn1idypSy3tH7I8fRcm
BvvYVi4RUPGdyOp7I5m3xUgEktEQZBQ4a8ARqITuQcs644ylw9kbORgLcrVIVrRe67GFzuPXT+6g
7T1Oj0QpNjHUiiz7lrol9CW6VvrU79fo3o0poypwekjm9EXeC2kc8WrzQ4NusSGblnFb5f23WM/3
xZANdwI/LB5rzGVEu784TmwdnbxaPuZCt8PWG5Jt0SE5H2ybqNlkGcogncojn6nXUclXSqJ83mZL
f2F6WbHVvdQ/gItoruIk0S87L1EHOm9GmAyFYolGosYWSjl7eL0PqsHPjyZ6eEEN695p4r333WJr
at58xO59InryBcKouRm7xQ/kpBUX9GXsoKxS4qO8ATvcxGoi/HiDQPnZ1DKYu/Fyk1XECnd+etZM
aceEe7a2DX25kFPAVZ13l0SjHlhiCBn1rTsjUleQJ2pUEc1t1cfm0dLcaguRbhs7iQxIpYcQFHV3
VZQc2TnYX2AW74Q5HJKRVDpqqoCSDVZScVbO9tdx0j8c0mVYoEfgOhrtrZiVUq6pEBt4usmOIEMi
5/EQoJ4QG1LX9JBpAqbCSD1pqkOoNOJ2NCXxto5H2lzl9+fFTNPDXSL3mKnuyuy0HMOPFcbmOtoZ
97NX7eliPLMTNjc+1uaPvrH1rbMa7Ze8f/aI2rtxe/nBtbr0eUClYZ3qlBQR4ODNipSnr2FTlvsm
US95VX/4Rn9JANauSOdzCA4PdUk4MzzgEegqLZoJx73wkidiFd8L2go7Xxlx0GFDV53J72Pa0a7M
3fSsNvyXuLXVvs+i06yRjdPq44cH4j0ks5r044L+rkZLclPY2X2adyBJTNgc9kKFp8sI19bS8N2X
3yLNeo+K5YnJ6hayxvLFoGOQuM02aV0kLYVr7JZC5Xstz3j8dfIzYnvYyzI5mgvQG+BD0blaTKgG
WUyak4DQMzarw7k27W1jDBcUQfG5E2P9qwYFHkmLllCk3SFzZhLr7PgBbDSN6wq620ALZONY2mNe
NTbxaYnYMIfIAi69sbcb4Qf5RA1riMW/BCDSskVbV3V471urdPswQqRAm2Rot6lynVPBdugwaFp1
mruFWI6mxoILCOBg1FoU6L0dbwgMM/cLyBB+ttHPRMLnjc7HeCwMe0QeNh11t9PPZb4+jtkcP839
VO3o0DE5yKytNUCEnMlVjyfDCHTiC6A0RZdF6uLwVy5MGK9yw8UxhhsMt/zfNTHRiqvVom5mO416
6OAu1QPPbrGbFw0eF63F62TU5TkLHvkelnxacqTZwwSFt+gp4OBJuHzjIb1QVKtAiLnajjKpr9O0
dcJGS0ORW+KrSrGUAMyOwkYf9vQl44D97bCfe1puXLJt3WQfZb5cWn7X7gCqPbIE6zvXsLSdtGt7
x3QnOiuyKt8tLffT6/V6W2VJu+l04CR4OamdInWjec1pqUwGGd0CCqEG18eaSphL6bTMzaMe7WWa
3ORjn53AM/tU9hpNo5hAZnvJzuIV6wlYkJUYKezbwORzMwPjIG8MfoqyisA18pTYoeVLTNoxIjXm
KYDgoPVBJT1YRn3FAKDFSFMKN3QUL3YLyCacBaAm2drahsojulxqTsEpxFYYovsi2oQIJ4+DjkJ7
M/n4nA0NYCZFhnrgi9LY1tlcb6pIk/sJk/K5Ghz7CZbeLWAOyvQo0r93zC5HezxH1JrCkmtfzJSK
JXHRJ2DVf6qrSu6HMTa+JG5qoHUtErJeYgGoIJ7OTX9+JlJ1Z6GYDNokmW+pcJYPidoy0NMx3ymA
Gxe8SJdm3DFUSYW7S+WiUOopwlnmTjvrE7wuete9TUrPz/rFeShnq9sQYio2EzSwBzuVDs3+tCIh
2g7h1ybPfRaz6czAmiw9hCcoO18BjL7UZVsFSeMHjZ3SBBXTR1L7yLlli2XfNJ4Xfa758C7eZnJn
KzSMAYiOMQ/Xvb20+yVf6oOLs3xrFd5IoYxLofIdPKiyAwLgrkQHf31HyuXGztULaXYEJalmCEmH
GDZuy/ceduYWrnt0KJXVXrkt2CRNr/j0Cx26gKAJ7vZEOYL62w68iql0TXJ8SnfbJ9j7oyYtbkZp
N/sqI71Zks71DR+yHrTR6O8IZGcIlMfvStUJPQD7OZoM6wWX2GvjuO9tazg7s0ysN8MatcesaPOJ
yGISXX3m3FOaEasFp2rTRDDq0t7RyUFL6y1324CeEvHfdDaSlSDfvUwaBBVRp1HCZwXJzb5/cq15
+MqOFYaGtwaTNVOy78n4BqejKYqnqgvrtqGqovtGM8lPTm486Deu0L6mvkuaZ2bful53VJzubjS9
Yu/k8hmc8cpPiuY73+Kr7bTkv+F64SMnCZ+1lfUa9WRfMhMct77M9OdGm4ABZQogS3Ko2GbRleoM
kFo9dXpFgtPskvw2l9VJcyVFHeuJHjNNK3xxT2fvVNat/1TEzRX58VhwM3aM27Ko9ftoHSoUFtQ1
QDgLk56cYCu6QnkidktWx7cdebfLzQQFrAdEOJIJSCZXdIgL6b+2pYrYc7Z1K0XY1jT2D6xYTXeq
YXdsTE2bt5aIzMD1uR3L1NDD8XJA8oesrJ1O26JsMjuYi6Ahzz3Zs+evSze2IGFpY0qDWQRclLhj
mZ/HLqyUa0XdAz0RF9RC5ejqUmfICOwfFVAdxlpBR7GeXGWAhYO8x4vZRf2XwfQ7g0C3cQ/HrylC
s7XJ7EUe2yfhZLbpdB0XbUq+Jt/x87Htx4Ju0AzACnHyGtdFptQIOL7wd1UFiDyc4wFAILW4w0qb
9q1/qpcSzO9AsHMbwiZSRK9DSRoApZHq21cZ/ZTIJm48G/v6VEknZevKiW1VZ6cLHTYTEKVosvi5
GWVDtMBoki+o+FtbkJj+DNz3+6RS65vmMhqMrN/7cyeqkwLvJL+YUaM1Zz7ziwNZOd4FaCOdtEBg
RnnY872URz+P6PZRmct74Yz2W9Praggyi07YtgS6CdiySX1rywpZb51S1wkAGKPjpMfzY6FbNi+i
mmmn4aIfgTjjH3X3k1l4ICboAay5uJKl3R16y+WVKusrUc75/egYsdzbSPOqA7pbbC6xB8bvSEMs
DaVkNO9l+h7UTeScZSMqa2RNduZsRzLqWyLpwKbxZOW12JpECaYQk2amVyMoRszK54YXBQ5+ADF4
Z241iEOrRnTiTjXHJ72u5xcZ08bdt4mYz7oUHljIEz3sIfC8ebY81pA9laQXUjkzD769i0xnL/ri
ztDKM21EjymJoOyNhyRJ39spObRCCymmTmL2zmRap5u241Onl/neleNLVRXHpphCxvBfnap7ZPD1
yGp+Z9p80LSl0pm+kB+Zi3zTyWIO8BAGWoQVbQT7MlYvtAtviVE/YfjcecMbwoiXZHbfOn0+a2GW
He3WG8VBU2Z1ymu9bY5zVTebcSRJw6sbwsmm1hfnU9NBErKRSVcYKwNRdbfKHajC+zF/yoqUp4Ls
Fvy5PJ0ZFKTN4vqjwxxvTm1mo31iOzfJgqY+WAbifqEigAeqK1h498T0OdeNxgMWllzj5AgHlp8p
pn4yA41CTX7BNP5ayHi+k27SfxsHaNhnpMFSAE+dhs+yTZpH2iXTW211dhMkCg0EwjXevXXGpyWH
acxyiI5mlYmDr8PSDKalTcuw7031aPkL2XzJSB4283G1nHrOOSV5OlPG2ezPmjw0uGInmJ0InuGC
QFjfu1q5peY96xbW4Q31JPInJGZDD6KK1u9uph/eE26exl+NKok87pLJeKBp4iK+0BJdgDFyZval
7egPLqR2Id5lZuJYaiOdiNle5tlxYG3VTjqJwikwT1zJ++/Snv+dg/3bR9lDeTu+/8e/G+jlEAD9
X83Bfh6Aff+5/zMAMzC1rDZBw1xxCYio/kv05Oj/wMrK0An9uEBv6OEq+O8BmPuPFQGCXG8NOcMq
9sP8S/f+IXDL+WxgTQflvqX/K/MvlMKfx1+OoXMEZHK473AIr+OxH8Zfpop5nWXlBYvH8GU/guyF
UUUC7Q0gJds5GCLyrM2slvh5YLgjNjSby2njK0vM4QJDDg3fXJKQ65WV5oVjK5JTCX6lCid3xDEd
RWb6daqNwglh5CzZnsj1nHxjw1L22Wg0eYKLZemP9NPMYstsuntrTGDSG2ukG3h0WNrvWdfL646d
3bbrALFv/KqIXmn7JQfAe/oLoYP+FywOfGM8AMsNrKkcxJzNTvmIPMfNoSTP5k6Resz+Hsi6EdQl
mcxdPvoHnw+XH1jTavfDvtA+R3qt7uNpqL4ZntZdz3U2od+uZ2CGPbExN8XMAswu0s8u6iWG+eU7
/YCCCeUT+wPdr9iRNpnmUtma9RHmkvjGsJzx02SK8taNfKQqczOTS5dFFmuiiikSoGYZzg3A6p68
WjJWVWjLOaflZI4yDpNUJlAAnXKGZFbXZKoDU7qXRpsU+x674ki+O8t8nA7Woz9hzdmqlhjbM5vs
XQc2EXnYKcIIslMbd76aEG+3O7ce54d29rMnSMUjQ5o5ju8aV1ePEukWOu8xHV99nx32psNce2Uj
zpnBT9kQTYnVUy2QVIc/ZFfU1rREegfw9yLih9wamyTsmswiNMro/DtmUa6gUDNzd8dHw7CCqHCW
JjA7+nRBknXkv9uuSu5rqKTfGvK5VSCZMo2bPNNIVdc0v/uWpEi4gs6sx8sGsnAD5irlO+m7Mnol
TxwQsTT1utj1Td1f8RD4zQ71ErJdEGvDsvVgQEIfUw2Sl9pb7XxjX0mEJVGC1Y4yBAVKPsil3imR
xle+XdXWbtUCrrrfBI1eVhoFU9iocAOGxfW8nQl7uCv1xHj0Ec++5L5RdzQ3/AJwIPeIYLw2NdeX
YIjBGBOZ/Bh5DeS6kWrJv+gmWS1BRb37PqpisMOob3W5te2mddiUTw0cL+qqg1OoXp1LvSASPDaS
sd9NtdsyJy1K4GcdCb7MIIvUSfYRYqEPp2iks+2NynoDCejdZVj87sE/js+6yio3aONWv8CjRWvP
Sj4sveZDbA1X0ktTCQuTDWVeV6HR1l6ynayseeyKgoaXcjXLQ9yXzmTVz3N7b81pkoGYKfI0aKIq
eoY/nD42XTedVKx/kVSXZ+7slU+GPvk3SaoaJp/dPN1SPLVfYwB8LAxQJHlJEOndaGZbodgAe+fB
aLaqnJp1RhbN/Y8pUlkiX1Gj8NaZKJfJ6Ri8bAp0nWkAnbOkfs+F9OUm1nT/lMgIQnjdToLijZIh
3+duhNoxkrZ7ZZi0ugF9lr4MRIq+cq/chKGpVS0kIAOpJI9JxB5/F4m4iHI6Unb4e2l4oTaJVwhp
ntniWLX+/FC5YyQPwmi9PSIr/dYavAaHLVCXTTOLltavpxN2PM/whlr+ix7Kom7S3dho/r1IGBSE
7DTrj0UQDIZmvtL9wI2M5Y20cHXup9PUE0Guykcim/IorHAa5dfatLg8K1Ziv4Jx0VGjNsw9aIpB
Vt11cSIsQlW8Xhwg1sjymHpLT7Vn0LGPvllmijx1W9E962Hfi96lJL7MFgbMwzkU9tguwqTMJc2R
TS1wtqFjanK4sigxIk4ExsITu2oUoFESRXFoTGxa2ZDasj0XbhrNm0VE/hE6oUvnd13JAscvondj
YpsVtN6cG7sMJizO1mUgpt3IE2WdO+AuBxSWrHbhWJceoFZL2AE8E1rpVqStLHAng9PEnA9ca7OI
aY82QuUbdpcuO3MrKR8WH/8GK7s35NuG7jmNyjzL7tlMdM8ezRp3M9Lkd9kbdO2jrnULCeO0Pj4G
LNRZYNZuYQST2bnDqfSsap0DKaRjPlJI4AW0XRqws5kdn/Jcj2Uoqhh2nZ7pjkaQN+0F/C+mi1Qt
wu9Ew1iabJqryUi3NmkP90pjQxEavS7G49yZPQ+UXpZPiwnp6wyXOcz7RDc7NAdu229cAvf60ALJ
3+3domldxJzomcKCHaUOQbIi4VrQfc2DinkenFzDYf4quTxNoLk5Ut2MnR/7U1cNt0Xer2cNux7s
qmoRnroup7DJ9RIpQTyjHF1FzU27Lfui0ENMs5XgSijzCb9Ih/i5iebLqUWzFgJ80lBidVjcNiax
YQg4EVuhqscrfBxqr7dAs3OBtpatIuR66AKi0uX6qXQuhjDDsK4l54ufoN3wprI/SpTMNJkXhyZ9
lBmrqsWn77SNR+CrUGuRQYauM8TvUhuzjp2uCdm1GwaWZKyw/JM5bn7Lc6JeW0Nn4F91ySPsw+Ku
QCpb7aiM41t79mmH6IR1fdBUcVE9GxGzClPnuw0Dn5a6xhKL6AGldgL21MroKjWRfIw05XWbdQFh
AbKUQYuzhLRD57wf7ybLWPw9z7xx443j4BOxLfNyN1VTweq0GPaZnsip28sJ916Q261+I20Ys0YF
pn1jz9A8Q68u6y24a+iemtShc9YulEx+c7yR8J6ZRqJNBbrcDpKOdOeM7RNfWu61xfew3SxRxB+S
OuBdyNaDH5otSn4V0myavVQ0AsEDF5BrUWZ5l42SdPIAPhUXRYUVbtj1zNCwcoux+5JoRvbgzJZ5
7jbTkh4G1OFfS7TvJe1g3bisZsu4EkrY7d5rIckEczn3l8vUV3PQV7YggaOsqLHaqI6NjUk+Abem
Koqn0tObD4i95ofF4fxNVHmopKJoGq7IPc+ezGn0HxfVzRbjnbh/zAbd+9Z4fv3N1VL9pAzb03b5
wrSRlSEWl2k5eOdEqtX3DYJKFJmzk3dnpi8ZdS4xW/+OMpduWWZWH+gr228j+yQEXarTielI8vw1
rTLeB7GkBCzoJU8FTJcImGtbOFzBXqyi6snp3bNChzS67TUsMbyRpfsUd00+MMFpu1dnEr19iJes
ePYYLl+iPK2YYlkWXclCb6033dcYGXa5T5uJBrxhbr3RNO+htTO2tGsGZny+dfeLSojF2dhOb9cP
/KE4j/ExuhvFFOrSqt1xVZ6u2QXE+ZbfYlYmxkh9rfxLbZB68pWt/3zWwNlZQneZJdBeoDVa2FUU
WuE0rbP4Wu8MnQS+CXBgSRv+PVMmxVrChP2stnMdwHjU+NedUZvXdUL0Zohm3/pYLNoOGyhe06tR
NihsZSad87GzEeaXfpU+THPNEsPG2b7AKT8tgQL+sHXBsCTbQawA4XysLSD/WckO315I69XooAx0
zZR2b3Vtc2chB5MBXsKi3sNxSE/ZGJXPrT0sT6zE1WUpUmUeUMiLHV3Nfs1ZyRuC1SXpARIHrBUz
H1gGO5dAf6Olysczun1Y6MMqot+chWv+mEZQZFv6tffIGMorAyAf6htTn+xZ0Yklv4PKqQtazagR
AmltT/uVL5PajGa2CtBUwusmst526DSP3gVdbkFKCU3E6QK3H8EjpVp1Qlm8knrHYWDdMt0K2jQL
a8JDy3q88wiOd3ZyMNunShrTx1SuT5ybWRkT/5XZi2NQy09uFaXn0pOsju6U0XaU/G0IFzo6ARBU
oQ+X7ohutxasfC4+1q9WYoHfNQ0O3WYd7Ot4ZExx1dIyByRXoJ6lNR1nMQqDxIQW7sz6dGhbk5El
qir1SGWGwQHffL3rTE+71Yo6ok3WQiRHhR09JoXFp8IYYt9HU2HWMkQu1sG9R5ip0YRgXBPoY5W7
AUEmxV0DodsK/LQw2EfFZt9t4dKaz4okDwRqzYKm2vO6bt6btEQupmGhf+Z0DKEAXQxtEuZRkz3P
tWhFUBNdkgcoYKhdkmXMnjvUoiDDmwmFvWlnnBidTZwSU01DL5hsQ7+O/Mnydv0S+V7YJIn9Auev
nfYmQ5jsok0758aMfIpJKRG2lXbhXPKdFVczM8P7xUPL3FCGb5jioM6LfAk0UVQDl77IIjZDjGsh
j67fzvfC0bSWT51o7/0+Tj4IuRT3pZVDBi9T4LMs29b4zqfZo4/WLO5Nh2hcD1QyWG85uPUkqHhD
3qaaOh4ZaWrVm9GVs7iI3Sm9JZBgoBIeUrp3BTvDvUY4RkLGOXkQR/pTyy6uXTrGOGqUvi1r5PIb
xkUDY5l4WbxzNSNI33lM2xLWbM2FnF6l4gq0OFCNcpUUOKO/WKEdp4piw5p4p5oWYPQmRVX52Pds
pTc6AQxm2BC9wIBcN1+6wSqbwKqEhoV6HOPnFK+1y90TTUdwTKPaM6bkAwqeymUxgp794luRrcEb
h/exsWYPdlAHoa49V6lkH02SiJ9Q0jTMS0lzhd49KXOmSPB8HE6sDJo/hukE8iKwBNNjdqDdipCm
DZeHolmqeQ+zC8p0Z1p8WJaEl4vubGmeK7r/2pm/8Anf9NlC9zd1FOFGujtyewFXyHOrLJKB5X8x
TiQHYBHJsa2da4MLu6wypfiae8hVGHp3IxqpNF3KY8ZF+y8Y0P/20H7sodkA1P7UQ7v+bBo0/vkT
/9U9sxy03qZhCWHr+PzAD/9P9wz5+IrGIE7SFI6zwlH+p3tm/IMNIU04KAzQei1vxer9t3rc/4dH
j0bHBmvzvyto5pND8E+OwU9WVjLtKFqNNfzbcMAhrq7FH1tnI1zyeB2bIy9DJDX3aC7gZ/bbH67I
9T+V6P9WDsU12qm++49//+S8/+dRTLqIFjAQDFOfGnRV1NVkaxTdBuK4v40Gzd60pcpfYvQVYZr5
2l/Atb+eFaZ7rp4nAEDAF+DC/nhWuc4W01deuxlan4ACb1IQwUZ98+ez+t1RTHulHGFN5jZ9Oit9
8FLZCr6vbOCMRyBgxZHaZgn/fJRfr50tICOQwe3BqLI/u4BbEJJJ71Iuq8xK3CDxUafBx7Vtcu/9
GUuSzvD0/s/HXO/6D34C7hfy2tXrL/CxkhzA0/fj9fNLs6kLctXQBpbGmdAasr+QxWBV95y/nN5v
DoW1GZMEr4YLFPGTsZvhtaiQhnEo6i3sc+Wyq0mSYGRb5H/xU//mSjr4MSwDb/wKIvn0VNi1U3oa
9r8NGl15JOLMOTi27E8gh/2rqa3cfw2DtV7Fn4736SrOPSJNZ+R4bakjBij0qNa2cnTSvxznd5eQ
+gCSusHp4SX++W4hClvmtLIbaGlNMgZSLnIO+3RYXsiKaf5ysN9dxO/cdqx+ApPop4P5NPfYqmEu
jXErhcPYGpeJA/DKtrwZpQkqq3/5UVznB2SJ8p4R27y+hD/09kc8vwRnIWrT8wEhni+NbdqzxYhh
ovzr77MDrpzETeYJtmv8cqhUU/hvOVQiChBJkb1Luz7+ywO/XqBP79ZPR1nv5o8ntLh12yFaZE9R
XSWJG++9bG4eXJDHp7Vf+YAe6elfv4Y/nth6T384pK7ZdqYpiuaZlnrYG7lz2cmFEEKSS+7/fKj1
Gv1ydjoOD6gIa5Tup9eZSWnSLhp6qBqvx3VW1cgPPQKg/x+OwsPOy4zm2v3MuY7syGoSn85H1RHy
aKrK2aVj5ez/fJTfPeqIHvkwr19bQud/vmwtTkDcMw79lRa6QOARF36WY/H8VtRdcu+zXvV/ebl+
9yZz6VgOCc51fsknlxr5v6kD34KZv7PPx+GZkfYreaDu9s+n9rvbBBVWAOdyMEJ9NoxBQiGjl049
cao4Iqai80K8jv1fXqjPmDVWQPRCKxaYISAfks/gwUTz0iG3S9rJJm7YrjSnwKYtvWX+E1PKV+aG
lEr8zVkGXLEn6ZCdOvNzYf0tLfjX8wWPY5F9QnHmrAvzz7eSLZ0Yx5GvjI67xEEaTiTkMTGH4m/o
Q31d1H9+AdbMDmodEPa2jans5yOpLvYSXdG4YLSXnQmcW7umqc37amwvYkdTZy1w3C3wPh1JLgmS
EAzZ/btBr/f+cZi15i+l0K/LzepA5I30BUUo9Meff59ppj7SRoUGSLCNR8LlF4QL9VOM8UzEBkCB
dnRuu6Ev/kaA++2RsSVSvQJLoaD4+cjzWPtL3LDqTAnOxAEXeTDhjgLnGdN3ea7k9Ld09F/vMuf6
wxE/vbCzYbIB1vk2oejwgraSWcBetPzLF+m3R+EGc+EcF6jZp6N4NNNMKkpU0zPdN40pcjBamLH+
/Ib+uvhwLg6+Uw/YjCM+Q9PKyoiyzoWFnsW+c0vbEfrCSmYXQ44QPm2X3Z+P97u7xSO77jls3pNf
YOxZtZBJxGfJkZNFwF7jaedGJBC9eUV3YYyz34dYP0Fv/P8d1/v5KaE5rpqmspoNzdr2XE5VdSRF
bbkgnrI9H0jfQGEs9b8sf7+7uGu1iYefAt4y1z//4YOoaq9ocOFwcVPdfiJ7TA1bwx/RtZY+jI2E
3ILHP5/mryu7v9KB4YyAnbC/g2N+POJAzGCJKR91UdSVodM0bUhiwbjRSrwafz7Ub55P26SCgVUI
1d/+TORmZr1kk0NPZp6YJYlswQ6FD+gvxfTvjrJmMLAF9dB+WOuf/3AJIVQ6nXJYP5jkRAixUjdz
SCn6T/bOJEluJcuyW0mpOULQNyJVE4OZuXnftxMIG6cqeigARbenXEVurA4sfkiQTuZnssY1CQnK
p9Pc0Kg+fe/ecyGy/Pm98r7/oA9LdzUzKHFthMdG0NAMy5l751lwi7JvNdD8Lg1hfdx+XL7XczUo
Ap4OjL3Wh/qF9xh/nVyY22K8O5OhUZ4w4TbP6tILd03gMwsb0Wttyhm1xZ+/CvD2wApRX3Mgdz68
CkE+oS3p2f0Xo4/uC1AB12RdYz2yPcXA1l8ygliS39GPf/FkggvioEyFDQ3Vtn+8kZxJ/N6x6MF5
Ft68xolI1LMyZNkm+sm/fzJ/scbgTz9W11DHeXd//Kiw6ebOFQ0FlayHc18rfYrR2DtL3cg+9ElA
SmehOv2by/qLW0qLg74DhQgJaB8xjQjk7KXv+VRH02rFYJeGSMfr7syrHX01rUCKKsQapfBu/uaj
f3pJ1k2XOs5mXrsqlD7cUQLXqkYpVhQwMWt+ZuXs6cUMl39/WX+6g3yKBxgNWiPcn5/WljZhIjIu
PLNL2ls4DtCAMOrEXcpUuPoNcPVX34jVhfIzXEHrHyMScnTVqdfA0ckJSEP+rY3lbSCq8nepTr/8
Tq6DhCykM8AJ8MdHJV2yJhyZZPBU5vO2a2b3HC88ctBJd7/Z+X71UQHPP4Lo40b74aP6VWzErI+P
UoiiaXsY22aZiSA358Pf36hfXTxqIV4By6Nu+LjHqjJERmKjmm9dE7+nQa0rR6l2f/wp6zbD68XF
M1e4xA8rcycCGalV11B4TF9Mv1tJDdgD/v5TfnHVKKjXfh6fAdvyw7IxW6j1sw6xLdmFFJcsVDsc
9tltosTy+v/wUetyEXksUvSlfvxCgV0qaYh8DYjXyb7PiZzO0ZTFtER+k9byixsEsePfn/ShLqjq
WSXMIZtN5A9PmG6cHabg5jfP2/qP/LDFMFmgPcnHIJoEF/fhyoGWUoCPjBr9XW1eqGxS4BbG+jTC
8bUAS5umk7+/ftb6L/70iag3IcAjuySL4ccLuKgiK6BMg6oQERcQedp2qqqcIdGA6UR6icRhMogd
guXohDxE+5sxG2edVzV76Yz53d//Or+6yNzINYmP/ixolR9/G1EVpQ4Tnhxk0qi3G4Mk3LB6//MP
QbNqrwxluqcfLzLh0ug6G6/eTGlrM+8fMyTJHZGwf8jWpylLrRC5tI3AAa40mB+/TeLmJOvMPJzg
5dD8ScffmKOxJ7XoUIH4+c1b96trR/wNDw+ZJOA9P6xVeuoIfRhq/KO9l5znw6xOG1bR7Z9fvJCG
B8Ib9i3/Y2M7KJDnzYIVMevK9qLWstxNnpP+aQUJQpH5BkEPHDto5ny4chgYjBxizFqnBvKqwB6L
yYuZ3x9/Fz6FXiW7FocpZ61JvqtTw2UwemN99vPUQToyT3i2kyr8zZr7c6dj/TLE1nlIkGHKHtsC
330MYlBkJGUAj18n6YUxh87eUsVZPXqw/szhKhy9O2hvyU7JIDmn333mR03zm/3lp/qKX4IUCYcx
wZr7dNRJf/dLLArGSi9wFy/+YFu7fpJddYNG2RwuPLCJZMGNUZGeIrtHwPr3l/kXixpFesioBR4q
ZdaHTYfIX8/UZVQTrZA5eSxNQsvHJr1wXOHGCJP437//wF+8CWw+rB4rzpmL/vFNsIOpRKzHmrZK
mcfOQQ5cLr97E37e5SxuKR0ynqBVAf/hOEDPWUxtwG31ZSrwrQb16VwtwSkj298lJPx8BfmoEJgu
rm7kB+6HXY61Ege1xxWscw9t1VzjVkTnI63HCNn4V0kka/Kb93z97X/cF9YEPY6/cGwZUX4Mc5G5
8iahHLKaqtLYupHynpQel89KB8XWsir7M22Q6byRTn0oW7t7+/tb+PPjajk0UPA3MQJF/vBhIywr
2JkDIvWNSdbRtsB1SC7pm1fRoFJRVW60+7uq8ueHZv1EDq1M0+iyfjz3d2MKl87CDFYh/kNYofWB
V+V3UQu/eGg8k3nuWoQdyVw/LjnEAQbgYTAVGAhCIGTkcx9HiSUfgJw72W/eg/B4fvn+LtJcCxkt
Myam4IH6/OEyQoSMus4hFdwt3cI4aJbrd1w2xqoVyrr7CUWrtZkie4528xTOzYU9I5Y6obyHDMWk
rFbbBTkemm/enxL8Y2ZfMPszBhQHAeoGIpjr4RT6VJEDKGXeeTaGWOz2odPN9WGsYC4eaLXBXOWh
nsVZAqC1OCX40qq3QW8JecDaJ73DOkzSJ52KdHUj3aLDWJAnebC3ckA+cWjJNtxOKrFeGzafPG4L
EYVxN9ZhikZwQAeY+5XT32F9w4oahB32jg4RWrENayEs3HZgjJLzcExIpg/LfJpXF1xG0jR+kK9l
lZCibI8BtY6Jv3E5c9H+g6FQA/JZxd3E+MbSNmyDLu/hY3Wreiqz034nwgklo9+JwUUoXnA8mOlr
p+An6rbF2Ddk7aHorHw6QWUtBCRqpIpxa6Ov3IxaUwPAzjbxv/mQQ/gVYCWdyBQuxTYanayMa+Hn
78katz4tJexC3VDJbV1ZWuaGlOQe322yjOUJ4zGbW4hyBPTJCNISzX/kDrEhaWTsBxqDAKGGKBVn
OpgCjxp2dHRsjksC/UUTdA/XaTFqVDatCPdEu5cWie+L7+9WAXOJysQBaW3z7tc7PdRpuLFLyIyV
uYFbi9h9qbicm8WSiuTmUqzdM28GCiAMApRi9DCAGwvYA8EmWbU6UOjbKsPQ2yH0DZH0DQdV+OoB
/yAULadKMxJfamscwQOJfthygE5P9TgZ8wVx9VydDowd2tFqRuEbhVX6nCpzuCxHt8d/nRXLvE/r
mc0OO2/yqY/KANFznepym9lO0q3YEvcsQ0r/LVBz+zjnxfBNLsjRMfUuRLih8gxw8uYRRDHoJmrX
o4z8gnMVHyVt2eLN91bebl3Z0dWSW/VVXoTSOZlbZymJ2OnLIkbqh/aoYNvnIOeF1dkCLlTEkDPk
q6ZWEFtYycHnOcyKlxHDIdLsxLspG+xbG+lzDzcI3SeOAHgEUNxb441Lh7XehlbSthvsA9lTXkfB
vC28JnoDeDAQWw8viKiO3vevncDBclj7fXZLtPeMDXMGkIJCyPOyfRMRwbqrlwEzhpf46M2Gsk+7
OHUD+WkC2vXNWwYT9gVQl4tk0GRetXLK8Fdk4Hox+oxlvvcsBcuAhwPvS+8DUEEuXZ1gpank/WA1
YtoEWWenuAOLAJO9q51vaVTSskKoj7TXqJWG8xGsSDY8Gt1dEc4mb7Nl2Le+J9Rz6iBT3GiynVDe
W1bZ7JTACLDF6QtNwcwMuNG8KQVADVR1Fw6s0RugvH4DzNVA1m9khnU5OZX5ni8Isjdqadv2xYfY
OH2iEvfKc5lkvdhPpZ2OZ0ZZqubC8PIIGXOeFurCymovuVEuOVIXwuybl8W1ZvkkANHC3+pd27y3
VVUOe+5QGNwq5Kr2wU2anGQWsxr9sz412gHLDEzhbWH6yXJeDTb4U4UDTZ+1deSNW3KrZ6yTuLyo
qIvcF9Ypm87UnrTmIvx9rgKZnCijTFBCJqO5zbGMQhd14CXtgwJiXtwhkGRShN4t+qwR/eKkZ380
xCGxoDTckg9lu2dGRrW+jxIX98w06Wo5jWBONTcyYOLzsj4IznvqDviEuC+tnYmN2YzmdJtTIFbP
eC3y7L6aUTmesQO49PndKSnypwQwtQkwJMJBNWxUxuYGQcNrxWQdpnpsEiBJY5i13xIdiuJu8dzC
OU8niISYTs2UlVN5eZbfzGFIfFIdDvl4jSjTSfajbeQCqSGpxeg+Hb5UbbsFpBRXtJN92SVtU2G+
LdGmw9hp/NtR+ujl+LYsxBQrdrRRdt1EqFZlRW2b9fWzm8OG2c9OPi9PuRZCgdI4Ssjp7dFslCLX
l76Fe/d+4vRho/dvczu8aHNzcPYEmIZj3LpR2V4vYcfgd8hLY9o1YZr4MfLxDC44R6YH4QTTtRmM
zb2TgDujaUrc0KYuO/+Lb3VULmPi0UYle7zAJ4eQ4HVxFriWAkjBbdQH7QzGmtdnwxtoVxcJPjYL
Tq0flnHpWcZNRmvfQEmoQQbMqY23bI3ye5YGM8Jdvx79dnlSiKvCUNmVpMVoQiuos5cyKBJiWzC2
vU/89BJbCETp0PuR5Pq4iYDQjkAcOeMqvqXRUrSXSwdKejPMnJdjKM3MgNmrtRcPxhRdzxlmwNPK
sMK7ugAhfAZBD4i0NqP52hvIXiI1W7JIB00+hGeYw2ABzl1WfXWrPAEZWFXqazYL91oknYXOEj+Y
v62HxbM33liXT7Ky/WbbJap+KdpMqz380vq+Nrx0ReqaNVOhSBQ3FmhnOBca9CY6pKUjxSy1kiUO
MruEmd3r/B3hiZzjrAiHkZKu7v047aDHvXlF0yGJnoW6ipIK54JtpBo8sRsEyFwpCB857KKOhURi
3wOTgC6UyyPFJRJ5AcrGhhjm5OCfhgCd/8aB9PyGNpvIPhaV5dxf5ubV5eBDZnk5iygmeLp9XULL
eMLdH6APXhxAG4m39F8Hq3cwe6jp69jk8gstEIyFDoRQvKKpG49SGN+cftQ3NDWKz/3AMg4SxoOK
0Szkr8/OEH2JDMTUJ9yy9BWW2/K5Hev8DAqkhXbKDbuv0TLVXxj+yDEGJ0zGH2WPQ4qPl8ISBHal
sPhP0Xhizl7wlIpZWrtCW/iFpq42jF2e1iG0RmcseEh69KU7GYZI5u3ECYyTKtPZQzrWnovCv/Y+
d72nxb7KHIELQUeQ9g1npGoJtcLiZFP5Qt2fgvTKSxJ/PLhRastYAviDi2eKHBbRMjOepQMPk4z9
qog2WLjmcsdAsBjeRnMucASls0e0AFEDo3UjGWJwE0meN+s467LmOskSaaPPzesh7pME4FBBLF6w
xZyGRNaPMO5s3Cyg+vErbX9C71+eC1IIiOULOvBLi42L7gRPnCM39pJmbwof57h16J+Dp2UctPc8
bP+7Agg2nlsRlvvMLfi/jkqxn1SpP7w5mSWeWswAycEVYFR4QZLxvNDT+OxnYVTHkVU013nhhySW
2xniAFZTv987dWdyxsODHxFg2GFGkYMPzN3wLHB0krmTt1t02dx5YHs32eLL8LbMBZ7P0TeyflNO
AYZNu/T8G21wYU69QDR0r4UTidi1suB1Erj0wLAYXnOF78w+1CIrvdPaKaaEHzfcYVsE2kLzz4lr
2LC2sC90S+oWe7Y94xpnVqK3gRy7MwtqposdyF/pRoTybBx7gmsdwLN4lUIF1tbJYejCeysRuuuI
fXfrBylFUFJVwXlUZAEOCBqLMENNORVxhqjxU+8O2bgfotZeNrKTCxOgqMrfZ08Bk6JQFLfOZAaf
XMMq1A6BaTJufQbjL0svXDwolWf2+0ymqcMpIO+voOOJl9GWEQXHIsz7Mmc9XsnaLFVmrwcvVktV
87B5rUo2+Dm8JznJgFhYJ/Mu2rDKb6sEAWEsnUHcLYGg+m0MNZ1PA/j6zVCILEc90cvnYWki+Ce1
C+QSDRFQffBz6c2sbPttSifkAdOEzao3HcHyjR8zjatkgFQxLpb72Nrm/Ea+FsrvPBgcbDKRge8H
UF1hbRK9rqmTM9JIsYfIvJhCX8n0C1i3Bq0BxancVHMI7tV1O3bHRSdghjAOiq8V5kb8GjK0oQ1x
g6K961cA9fKhGIstV7K843CsvuS4I2jd13Be9nPjd90hCgrAKH5YZeCqdOZQsbRtMe/h9DKm8LvZ
vlvMQXB8ALge7gPQrad8rf5bYTvq2VpIsp7rDGvS0gf1u1mZy+ewC/AQI9tzp60jAx+mT9aIHUES
ANJ9G3UD2/jkil2XttGthX3rwe4XFgcqjdTdIp30Hto5pAbpM6vdQtdNbs25A7PnJHV5iPqW6A6g
sEkb62YwrpqcUyxkKys9nYsoFId89jl3ZnNDMYkRxvRjuIHWWeKgWNyUi7s+GmHv34xyCh4hfjhB
bPdN9T6Y2Xiv6z56bnQlJeOabjjP8FUUsIDc4N5Om+mbn2eazbJP/NuB2v1yHqcV8mfzumrbmGRs
chZ6xE2BQi1nGHA7AclWcQpQ9X2R3XI3gCjpQPgm8zN6296JIzsf7okzHN/sMhqnbWimw2m4JG14
xg44k0Xh5DZEEQ6N9Uln1GxbS5OxFC19DmMtrBIM+TbupodsyTN1gL1MX7pvkKHiVI0yXLRpOoQw
K3XyksyTuhOuWFz02AOu/BlxLokUi50kcei31QK9wAZj6tDLB07PqyJ4PrNpX7QyerOjKsU6Kmen
P0wyjS6QgjXyc4E32t/D2lybBGFR3SFURmmUdyl2ILp1FSxEaLXjLlT0n3dIbCJPM9Bn8hHNccik
f1h0DNSgMkvEOznl+KkiteQr5XA2XhqL1u1hwmfVnjiG76l76unIZNDZZ/4epahr4zk3kbMDIpQH
3CfG/KxHndMdiNDRYNKVtD7BBmJhtY52Vo7jWFvd1eWKgRvDKw8b5tfiaISNeCSybXE0yJr5apZd
jsbZ/Giipe2PobY6mms7v678c2xLbKUoYz19YR8tubpOQPUFq1PXPJp2vdpQz/po5c3LMOIMAz/p
lUo7f5hHge03PVqAq6ClPiTvqXzyjyZhlXUz/vmjedhMcsrk+WgqdlE/vo1Hq3FwtB3r1YHsgx0s
tt7RmGwdTcrR0bCcHc3L6mhk1lkwqBgmQvIVwjJW5+KftuesSk4JO8AMHR2N0dY/TdIWKLGYI7iD
s3n1UXe2xuhVp0wL2GDYz/Fa/2W9lh2ZCKGKwVEdfdoGoT959wj8C0P3sYf4/y0o31lQED9H9NP/
e4zLTfpJ/9d/fk9w+etH/uVBMf9Bdh954TY7EYdBn97zv2KrsKfQPsSgx0CfYN5VFP8vgguxVfSF
eQ+jAPsQ3fZ/e1Ask1CEECHTKr5dh8B/ZEJhqvRjJ9olUTCw2b6tgP4satEPU5oO1k/kVy7nsUKm
nI/dJLxaulLW28YGBSDQVuVxPnnuYxmlsF2hjiDz88iZocs6J/5j77gdNlGKS+bCoTKKvZHr5BoA
H85Hc0XlJwwMik2ZYMyLC45Q7r4Dwv5uVDSmD+lkOXPs9JgXY3ii3a0VJvCnhwo4/sZpaBhi3kxM
WA/w+L5VZh6+a1IjH0DyAVpSoBdoV4eevGswFlLAhXOPE69zl/pANTmaGzsLe3XQM/ia3WyHlBkE
JXy2vCwNMHHX7lWJux5TaJLy4+QwGh1HEtjehrFEX/sgWAFxYc0xd+lgL8Ax7pcH0iBbWniFsMOD
hpVLNRqK6gU/vztvvL7yizM5BEhelnoovB3MMX8+t+0ClzgmXA6lpsyXDUNKoba9J/13YxnlGwin
PtlNVsi5Y+QInccWdI5+26ZL+zyHBI7uHIPkYA6vJMnEEkzeoxMk1Y0z17o4jJ6PNw/qNSf/jiSY
u5UoZW0rHeA1NcmktuOpWvL3rHeyew8WFsJqo1PgCk0j4OQsIB/HgBLlczsO6Be6MIMSAi4CakHF
c4p5bj0CQdodvGtKmYGjwZj0X4syg71JFZ/T7Vzq6UGmLh5PbUGUwa4ubOhSntGEG7DFznXmixy8
apNApCf8zOk27aTWOAUX8F4PhzbZphXxL/vGXtqXzlFDQyqAMuVBe/CyT1zDBQJfmIZVUbA63p1P
Yx2ogPIzHXudU161A2ztq9Xk352ESajjrG8CcSBgKby13ab4YtL9/QriQ3A0t2TyFg0GLnGjInQt
M9Bpxm1XFzo2CEG79+pJsD1mg4eKmvn8rVV3iJlXJMDkF1VFxUdPeguJcDhRvt+c+Mpybpthya8V
IuPHuV7ko9+UgbOlPZV/IQGDvJumdVEEF90LSWjNtNG6CSyg2Lb1OM+r0iLJ0/F+jCySsqh2iwu7
n30eSxom193o0c7rSOC1DzwHlb8Jx5a5WECErb2RNrdoo9NIUCKY1Jcbs/TaaScRwKycTruGHo3a
o1rlj7RLKjpe11XIPOayKr3ZBrjQSWqOY8DPTNSBcY6OejoMUJqCyxDwIgbx/KzXPgFB5poVRG6W
pLd5jBBK4OZ/8oE/X6dOm+sd/ePytrYqdF5YXp1r1+2JIxIpaD/6CPCED5x36dkZcBzAdx+jjEzA
DASaHCOOimPckVqTj0Qq++4knzgLbgxnklbs9uHruOYlYSseX81jiBJdOQKVNIlKcMjXmCXFi8L6
UHrNtaoNgpj6YyhTUbrm06oKLWL/GNsE2gYDPiWE88mHj5hBmo7G0+gY95Qek59GCwEDbGhxMx+j
oQJdcEvMY2QUYMUl3AZrkpRna7qh0zFgyleReraPsVMsogDwq2McVaDWaKqsWWOqPJPEqpDYekCP
ag2yksdQKy8g38o7Rl0Vao29AqJKxarboNM7jrlQoieF0uk2P0ZmNREkwgMjIO/SDMgL3EGW4q/X
fqifjHw2ut0MafXSPYZx1W1VXrppUWQ7ggHKx/4Y3NV2uTmd+Guel8D+C93hmPJl9IO9c4jne8nW
FLCiLcp5m/wzG6wlJiw4Roa1jZwvZKuFs3c7MsVqMqLVxl6Txtxj6JjGsGHG0qbNtcnWXLK5EMl5
B/nvwRRGdp+t0kBGKzRqSUBMaLxWx4yzCLNtvDCIBptbBdOtADdhxjoz9KUD1bN5wVQuL2vCT+SK
elbZCREbhKoNWRq9+ceotSVaY9foTtE9c6XTHfqsUQF97nG69wZemjhvaXtiGggAzdjWbN5BVmO4
wGm9a+81s4wTLGCjQePX59Ug3k3NO6Rr6iv8jLV+Dsct3WxZ3wjQUDnM/MjpAQisbuNudsB/MVtK
LzM3T/SprRfOU/zm/Us/EELAexHYb3Pf4jWme2c9mGFS3AT+nA1bM4HWu7GWNrg2renMIMWBL7LM
MFzmsWRu65GjxsYVSPpsnWNaL9ovw+fRKld+SrUOsQnuhZsL9ie9ERpPzc61Wn2GmRnObQ2kiBGB
cJXLOXZmDuKTMBLu6Itx0h6WRIybAWWFRypi7b3y/EfFWUaG2y29gRmcmUXHArVjAjF8mObuAIB0
qmJP2VV7YqkOtMLgdg7vche0Ku6lNebg+P16y3SsBBY6TbxATLi996jwOhjH/kTcjVkFoHpI+Zo/
GVoPr6gd6YhnGZ1JerF1Ueyh/dbFSYh+77ITmgGQcgP32alLk36T73GnZqYxDcUIUACwo2ireHFp
4xHjwEE0EMijNg3jIUC6PO/WIWhH4OwiKYdlB7jR6eOQjEjOMxF1BhGabJxQ2owQEIHRPHEbfQYP
eWQ9Z1Afwm3b5iQ4TLnpv5NLx+EgkA+ByOo3ln7F1uCm+ktLjwcWUlh0D2HLpCxWttOQpbNEoxkH
8+LM21zb6pyc+8yBoum5Yl9EnM5jQjGjB7D93rSxMKlDKnMDgqSE6JYr+JA1RGNtqDf2cIaAoE3D
27SuRwXRZS2ENERaaDFIiNjD6cQ/L6PLWjPDede7oBq8nqNCy942y2k2NjUHM8aRNXhavF2F8VrP
pivieh01g/2sOrWtRwGxNOqacd7CYYVXMXhl1m0JccnFxuualQrUShgpo8+1jHPTy27g0bd74bPC
bzHEtNOe94VUF37zDFaFN7DIDA1xDcxeE+tLlzCXZIvN02nrakVd4AR9/yyl0b0MMqlvisqHtjF5
2nzorNaaYj/1rWaLYQxVsV3MILtljvyHDPr+HDEdo13PE+apEer+trQMf9hOWWcSDIHpgbYoM45t
aylCZCa3I68QG/V42+SmA+8dVEN47rcN2LMO3GuzpzyjngrtvP7sLfi6NzOn7RWf7IOlkna99Azy
rOG2UuMIxIC6VmyDZPHPOMhz3gXRuRJOzFEnOHN6a08wgRvFlj3KGVrcYl8uzGYJfUmHxosXkaoJ
klflX3GWri4Qqo9Mn6cmO8v5RAKDIuAdm9K2irfFYLGlspoVwFcDpaE3kjICcZEVaRPmwvxMCI1V
xnpuxb0csCNtVN82dx14MbHLyZqis5hZuReT97egRpwza09nDetENIQiOA9hsF2YRQHFp1O1fWIy
aWVUnQcZYwzbm3OIPuGSbhag8QyH/SX/4rCkfCoxgLknjmVqgz5GM4Zr0kzFY5KU+deqzDyEaMwM
AwQAWl32FtXSoV0YgGzaQXrfkoRKlJ5Y1QQ7hPSs43KZoLEPTeOeTBoTRCwxcZO1ZnU96HNtUhxn
EuV+TtAhbWzAjKcMC8d2t5gTS5S0Vfg+pL02944HzSPuoXC8mkS99qAQRch8jkjYNxn2ot97lLvF
3jKSso9Jfmrsk3RQgr5cquee33hxGcW2ZfdZdoX1rYNdB6h8SkhT4jUVyQ4unJsBa0tAXIXJmms6
cfjHkDVGzTttvXRkIu83vP+DKjGGhlqjl28q/ZkEJg5C2jBJXa09q/zstY7DTAltxGNNbChxFcEY
uBu6Ojx/0i0dfhPtMnmzePTaGC8NQbB1qYiboeaL4MsZ4ZVfjBQoLCITTwKSMl4uTKP8syw57Ykt
+sDf1HUICyhDXMCOmCrfudUwcrmZQ2/svURXBNHaJhEMaZ/t/7yrcN28V/d9+/7eX35q/vfakPhS
N/MxdP7IW/j3n66H9xY85vt/8Be7/9jr6uunPq2rjz/zwz8Bo+GvHscaQ/3DHwCVIQC41e/tfPfe
6aL/F95h/Zv/0//4V/vgYW7e/8//+vSVM98Wr3L7IRQbKqvJqf5vOguf2k//9Z+fP33fW/jrh/7q
LTjuP+gAoK904Dr4KG5RQ/3VW3DCfwSYaPxVFYjCxVl1yf/qLRzbDuseQR2C2QWV7r+bC+E/HBMT
zOrUR8uIxy76E8KFcwy7/04ghXnEJZqR+DsLCR/e/1UV9p0sMk+oPChECswlsn1qrCJ7ay0tHlw9
gtWL8t7oT+lPJE91Y/pfRSHmh9LOmN05TdKfi2aqvwVNJc6Wppfd3swCa6bzbtFWp86F30c+L9ks
c4Oze5PjnyniYbJDdBg6vwmNSbtbWUdkm2L8Tj9PVc2RetRg02DAtbXc9YlVEv5BKugrFjjx2jEl
ZqgdFDaNUbRE0NecREOfqet23CZOXsDrsuE0Vfo4XoecVNBZN5AFhXW3xgpmEn3TMAXVI0B6TSiH
H6qIvvHiPYa4Q2B8sh+aG2fQ5p2zzGDHCiiuFylNQ3k1r1jY9Rhhv5k0EdWBlhJTEOkaxc1cpGO7
75Kk8neLPdkHpcYKzBEeMEwNVasrhK69ujcTK0TaDXPuSxSW0TPjJ3VP0p4DO61cKAzn3iIDyQ1b
997BaLmcqNLMkTuN5NJsSgP1rDDy3D/1abLc2GY9vpa2akDGVcq/BP6efmL+j2fJMZOZExOFvTxr
utp9rMd8TrcqoGUB/7/vRqjzNIJOnKDM6QZ0ITx/BqI0J7KoKa/MvgrQYYmE4Ui1mDtIJTMQtsJ3
X1NPS4PLHZXIuJCMLDGmaUNufQtqSZwsamLALVIGr4ZLyVy7eFY2AaNQskh6p73VoNxNKuXJpsIa
hQ6fGnRqUPDJGv5GtoSSh6xlg4yjyvRf0PX2FOZiLF/zotccy9s0OgWFNIl4WObk2Tca8EzsqHm/
cxDQM0OEDRecBAYD920o7IzHrkiAiiaVx/SwZrpkMQSfkmeouBy1h4xsyZh5uPEY9F16i7yCjZoF
zwivRTeB/G07DxFA15cdIXn9OnCb2Y9PdJQ059U8pcauNfOUi7R0k8H4LsjvcBcTDA/R3jfO5zqk
fKdXRjQyzZ20PaUJUaN4bkPm9j2or3M2XJkgcJuCzwCSFnniOgs9Cb8ZGk7eolAkt9BUAVeYTeWz
VdTj80ShfIMvXpZE2ntAnoau6y+ZZycvQVjN3xppkCKXtWUZ7CJAzV6Me40CO7OJMaW73XeP3CQ6
fxOZ7z3F80zKC9JHaiiyLMWbUVA+gyIc88diAa6yWYK8uGfEMqitZyfRO+o2294PbTfcJGSr82dB
ME6U6s7b+wwbQDkaln1DnS/7fQNI4MYp0+kFhCD5EToy0bdGuN+dU4YbY4//kz7hTvZipi2lARLz
+ASi36pinM+MLmdUMUISpQuFIIINFWRjvwnTwLoZie/50lVy+sLBJem3gtPAF1VCjCTL/Mmc0NFg
Fk45mBmMtu7srh1vLTRGeCDszPJO8gL5U4y+hDA5M4oWJ24jdATbpbW9emcXo4RPVkXUE60zzbdT
NATfONAxEJayCj5XQ65qUFx5k27Z35N0UzglrTkwOCEHda8XKV+oLJ1NP5j9+Xo4VDyLiUPC5+i1
zc72GddFzOzUtuJevMGzy+e4zKr6TGXMXLcpSj43nrParbfWgJ4UDQpajQkxyU0LJcvbOcSCPQp3
ilhdUZky1yS0Eekciq/8gLrg0kzS4rVYIusKbCJ0PZYchAJFzS0kNg/D4QaTXntT5QaBOREyAFj5
NW9ENdIh3BaTysjNkkTBn3e2bd36hut8o/hf9QfGMgviHUv/ljAOQiBqc+pHPPRO/m4jP/hq+AIh
el0Qec8aYYMN9YhCeApmkQZ7uiUN2bjRMKGNH4iyPmE3pVvjOuivt5BiXTJ1zYmEL5qqPUERXUD9
HKjk3Ck6rE4kidCnQRWRkdZLFgT8JDkAyJzASL9MrjqnfPe9Sy2CyIQ+amQ+Cj6Vryf72oU5jRFw
3mA/mB/AmAfq1BWWvmolalYeUct5purzaHRjHqrOpBkA+0PA4+0LkXuPtaOs9lSYGkVP5CTTwaBH
pAERNfY7KfPG1Rp5xU2gj0xMmWrGg2ciNTrJCfjlTeZQRLpcAdPU68yAoscg1SbrxuQxAkQi41Sn
RONw6Qmo6istur1XSHXg8Qnb/dCYmbcBLYfap0XpcTXLzOGYVmSIUCNu6+249OgjOMaXKBnU+NCz
hD7Zi6N4dzKrf20J2TpTeiKFyZ9CiUxv/r/sncd25Ni1bX/ljtdHDXjTeB248EEGPdnBYBrCe4+v
vxNRVVImpZs51H3vqiQVM0lGBIBzgHP2XmuuoXy0hgpDZiMFOcYQouaRPlS6dAohNEdeK/bxu6Eu
wWOF2hc3RdPHXxUM42xBkki9D1KV8xa3w/BO5KXwrTZGjEb/+Qr0//mYbtYdNHp+sfr83hTv+Zf+
a/nz+vP6a3+tP2WLnAFWWxZrPJpcdLD+sf5UpT9ItcNnCeyJ++617fXX+pP2lbSqMta4bNEgv4A1
YVv2XfR//49g/UFuASAqw8AwhDiTbtnfK/DbP5eVvwKsXd2J/1x9YuXAsmjQJGf5C+UNd9DPq88l
REKtRdLl4L/dhJ6929g7/8bf2b5/8u/4z87e8JXteV5oO/vt/mNLTpD94W6324/Rvtz/xuIo/ewz
+dfP86nVpgJCCVggXtwX98Hf2J7jbX9jK9FWs8+vDvmTNyctiVShZXZxT9uT/eK7/mDbO/t149t3
tm/bvKe7dVz34LgH/+LY3sH9zSe4opp+9Qk++XbyhN6bmEiXk3/ztvMffM6v8+5s9879b94Jw8yv
D/a6+/hhd9HS5w8GDvbEFT5wdOt1Xf/h3zdv/mnr3pzs3ent5L+dbmrb9U+ntzc+kX3c7Oy73d1m
t9lsvM3maJ+9rbN3DltGwuvx6Gwd2z7aznnLp3a3nLCt61wOju3YW29/cQ4H12G4bH+YX3+N3h9B
fb8bHWugx497pY7YCbKspIvvXl6+3IT2je29nh3R/t1pu4KgfnGFzLUj/MNpSwcDhwxX6OCeXNc9
3TAlTsyK64C0/dq+4Zp9YVbYnLDT+h1+kAnj39n81Y5vruOI8cR0ss823+KrdTDvdpsz/97ecy7d
vXM5cd6Ybyd/vfqu65wd3995/CB/3u8dZx2D/okxcuOvJzSyt1wxfofr5btckQM/yNl/Od2sF+HG
5Xd+fcp/O4DW2fTDmTDDoKRrvc4Wn2Pk09mbk7u7ngqbQ+BT8V/nNxdAuVrXfnUB1J/fdjHmEYYF
V/qF03m63zrrSeAL98Z1DrvdiUH3xsDd8T+XKbzbeF5t86W/5ZSe3K3/Zvvui7/x/Td3d3PD5eCe
dnMX2vYzdzifs8h18vZMiBf7ztnb19G02+xudnffd6H9/W590S8PN2+x/bDYX0J7x3Db3d3d3PHH
79+5U/o2k+B8z6Tl35ftvXe//eDCbrf39sPdbjfZdmhvmDXPx/P5+bzfeo+7/fbb/cXxNs7FcU+O
59279vtxvYKMs3tmi+3t90duAvstp9vlvnO9EXHkH9yQTi6za7t1OLwdI+bgbL0zI+H6g0/3/PU6
P+/dw+XlxXXvnW+/GQer7/lXF+STAbCtiQ821gvCLeSFE8FAcI4OA9XZHvisjvO7J4G23up/9Y6f
Hk15Z7LPWd/xZsfwdz62u9jmgq4DnRl3w0Eyr/gj04X/s/dc+fWP7o3/4D7s7k7uS8lF39gvhy/r
/OED32zszcPtsN7hmaZ3DBrn3mOWeZXtnd8Te88427uubLsX7oRvlv3ondd57dpb1+NRYO/Xu8Fv
Zpi03rR+dZyfHnmB1OFb4DhP7tvDbp3697++dKq4TpZfvcOnJx7PfYmtPHczBs4NN5z1OXBYzx1H
ud6AGFoMJMYXM4eBduBUMby5bfFHzgff2zImT66350t+2t9x+rd8l+cHXzMTHOaUy/Oal+Tl1x/x
S35/98DF42bB3LveENd33PnOGz/CR7AdrsL64/zBs9fptOV9+Vle8XZzw8szBXgppvJu561329Pp
xeV5tXuwOVH8Dg+jdQRy5+TD8fu83vpizpEvuEWc+ERMRVY1XNcnb7/+qLffcf3P17sWR73dlBw8
l9b2vS3jeb3Pr/dwPtuG37xz3nlVJp2zP69Tez1NnKj1txkYOXccLpfDX//6kv089KlKopKVwWoR
T8Xyz9I+QQhiFf8AsUkoYfQpPIfLEDj9mA8HIdIGOh0CyIBp+p3F9+dR8tebrphOoA8rbufTnT4x
0cqMRM6TMyCnl5SsIG/BFfObQ/tkP/3z0FjSAlSFTsDCk7H6w/NEoTeMfY1Di8xRAkVtCcQILrOG
F1Aryt+82b85JEnFTrueTCp1n9cLGvpwA995ZJN2t5ae8mBT4rvyf321/s0h/fQunxYLhBPIVHl4
FxpvHNFYmXcANBIvmrrgP6MSrGePvYKGbIGSG3uAT2/V91KkNwHyFYRv2mY0iTet+8X43QFdGQr/
vGOsY4FNPWlqMBYUOO7qp7v9kgGfQnPX2TIYepJoIiNFfSEvxDwj4noSVqCrEyHQFXxL1IZTJw8y
VSKCdujRd9n8ZMpYTp0xFZJoNyu99o5mB556F8SygoiBLvyaNjx0UKsitufIAuppQ4bXCAS/o9pI
TJKY5BcCbOTCoTwAxAtWg0qYsIDxxs1A+uPMrlKSrFq8W4vdS3JPyxGrxMdSUsD28qrJt1QoxdFr
9BRUXR/UqrSxSMx6Gi2EI3tZHlCxhCpjb4KW/600C6vB6BLQZUT10VErgtiHJl7oGpJhwA7NNJLa
4kYEyfakoKMqTxGFF4LFo5WkEOkjs0fRKO74GHRH2k4qLVAi0+hE2zqOzQgbewFcTWhwBtho1mjm
x8qcPwZibWB5UCOzcEoEirTh9CDGSCw0WePJQm3R1c3q17JBTeICZSmJd4oVYnsgm1WWJ0aWeppS
YZRXJVct2YTRk/1MvS6KXCVLrW+L2BP0StaOVjgEc6DORinfNltdzPFP0iPI01ONcbRxqNkOmm/U
TUICNG5IuylF/QPdlvSRJ7Um4TUyZuu0sndUb+5lcACCVVnnDjitss1KUqzsCt4FPt2kam6yKhxN
cily9b2Qw+q+JRz61ajr7EtTaFB5DRLLerdu1ARrjy4mp1lSM91TKUK2j0NeRqGP9nKanM6cqB8n
k1Z/FN0wYBvqrJGpLatF7FXVstw36TDpTiesn6BIy+iYjJMq2AD7CKBv5Dp6g3+fnhFbEdtJrVAt
XDGUOC0wewfBa2cK/75ijdkrqgoCaZLIak8DZh60InWeUiiqVMsNBLKqdUhgoWdlNFS2eTWkzzj7
tNgliBirelPiSnQykmASBNOxVttcKus+b8uq8WdzIeaqgYFEsAID/jsgAPNEiKaM5qAwp5mSD35L
YtO7Lt22UTq91t3QSTZVhpzc+AqLN2xU40MlqRerU02++FnVQqL80hamnhNI2XChX219zSSka3a/
xFR2zbjL7+h0NOnDNDBGcNtPwuMEJBKxYkk5uVlM4VKHalF4gqL2+xTUAdI9gWY0hpSum5yaWTSv
Hr3kqYxrYiCw2MvMRTGhqSQMenBScPvksBLDOXFQL2apPSMR1WjPqKXpNQ2Q2i2SmPYC2NbskU/0
xUWkfIzhQiqGaNsQA9Ece6XTco+gjlJ0A6Svkd90CjkzJOlaRBuURourU7aq+2Dt3iRiLH+Vri2d
VkRz314bPc044i5org0gce0F4b6iLVSnVt/48dotIkKQxpGoFGm9JVxFfqvLwEzRHuRTdKbdUhwb
+nbM+7UPVSAcEFdfFO0pVc+1x26MaFqJWkYDa1x7WS0CAawENcFt2/ra7orNoqEQe22DjdxTFkR5
dMe6a6OsIq6CptmkxkQz/NlMI8LNcrC5hK/4X2qyIK+Nt6IpIi8kBVHDsLg256C3RF+suqJlV6lN
n7sEwwUPuA9JxMlzrsRybfURskjbr0UKEbmhktIOXK6tQWYURUx97RhGa+9QXruIgTDr0BbEZXrA
yqx/m9o+eIK4Z3U7mifYALCThQ/WoBBRW4pAoK81ReVaXtTD4Z2IWGqOEfrFe/VaiSwaK/5aX+uT
hRIKjyJT8p0UN+qXGp7WU3atarbXCmdwrXZq5Fs/GtcaaG0SYOO0a2m0i5P+Fa1bg2ttLZ1GjUIR
Ne/n3J3W0moEBesyXuutKGfwV9RrGZbEKIEg2Wt1drpWavW1aDvVOFt8ImcGwAhE1FU0RExqvENt
BY/ttfIrJWin1bUcXF0rw9m1SqxfK8bxWjxurnVk5g8PrbhXgzMB8vL3BckzEui1/FyGqkXrrWeW
o62gQC2I2Gv8DiYHVrBKLfa0o9FbDmthuyD/DcmdiCYHMZRe7wBYzA8maSHr2Vxr42quJ9TJUUjo
VN9VU/TkSlC1E1aWw7yW19trpb3Up5JQ0aqNJ0e7VuNBWFCZD821SC8Z2qp3WWv33bWOLyWCutOu
1X0a51T6JV0jwmm5dgByUSeKRTC10PD1a5Pg2i8gxF4JzijOiwM8NcRtMTXxwJV7JMEdYqyXViL9
zk4q4upsDdnyO7Fmqy4pkqLnVuSjObGYR5tlKJGpDUvdfiOePgPp2kz45oak6LnRoC8ZUa3g5Hcs
LKI0sfueTsLYhsyfGjV47taCEX7lxqPJO7qys5f3FU4/sSCPhxBCS/gSDgElc3Gq6P+EQ5vdIfla
FDvVGW5OPKObc2e6iK0j0nqf3FItemIkIUynjignQeoHRtzfCZHFMxqcJpmNRbzo1kaS6nhiSU6w
k4dXuwn9kuZ2sQ9jgdsCiilyspZWRtnWzhB3q7K1PgRLnfojLxU9EBE4yY7RCWV/SkBLESSE558V
cEP/s7jKjsOrBHm5ypFJFi+55kse0tjAIUfH+CpfNq5S5vkqa24xdcvbVpPb9i4kjvJGuoqgkyzM
jtNVGo20drif6fYFPm506TFgIEn+eJVU03y14BxjZi4UDrKRi/SrcZVhT6sim9ZQ/ogdOr2Z1Uq5
xMpSbRiww8a6yrmzMuL5kC7K90peL3m3Kr9NgRU/6XeKMDmhjDa8aGlwO3A/kIwHq3q8CmKE5POq
KU+qdlh8vRESoiznoUMaBf+aYPoe/VZOx8NyEqxniCtF8s6dIqm6FP6AaFbo9Mi+dOYoD0mXT43m
pTFSnplgShhmBpNPciDIaOdey+LJW1pGns3qQ3kN5qo+670W3Exzyahr8/Xai7J5GlBufS8rc3xY
xWqmUwlDSLstxbfmhIz6Y2I22Zvai+m3Htlb6Ao6MjtRb2bd1mv61c4oWu3MM72Ph9/UCP5lH8NZ
s2T6cjDCQBLJnzbweU0GSh4ZL1YMbrJWWAxNpC795k3+ZRuzvsnKbdN4KzZMn+stSqziB+bpwyPQ
8pRa0fYK5lu8uk3Mw/q6Z/pfZ9QPzigZ8iRX8n/uIN3F5X9tmvfi2/f/+lb+17lsuu8/tZL+/P2/
pUzKH7SDdNpFbMw08lwYBP+UMmlgjrFC/fUdSkx/S5n4LU1jpw2ITCWqRVqR73/3kvQ/EByBG7GI
X2AtAxj+P+klfeJ1YYZUaGVhClwhrxbiqZ939qS2t0ha9LeePQQR1BeSRHLR8EsJnIKh2A0iYwj6
yZ8DCUFb+L28/XNP+mNP4HOp5PqunGf6ZKsbTPvUSxF6jcXypL9N/d6KzGM+eHKJQRL3wLK8/HBx
/s1bMQd+KqSxLebRTEoSId4S3Tk2fD8fojyISNZVMt/DspyJaLsKToyCx6k3rDqUesy1jSiBBPXE
PuoMp72KVqKrgKVOw8i6sa7CFn3VuHSpLDyOV+HLchXBwGYKnqurNEa4ymQwX2ej005dignjKqWZ
GpbLG/kqsTFmJes8bENIb/pVhdNhQA/R6qPNSa4yHWlV7JS4N/odAWf6i1LKMvFoV3kPopzyo7yK
fsamGc2nKapXLWNlIAxSjZhF+lUuVFylQ8GqIiKgDEER2V+Ii7Sr0Ei9io6GqwCJoJcC6InUsyFs
Vo3S6viVbKnWRI9Ustw1Cc7TXSET87MgryIn2RwQUVtpiLSb7S6asyaX5spTwdlQbgjrOjyQRsgi
XFRQiDq9oM7afkwV7SAmk4H+uTURsVt4AM6xRo0HZY5yhsuLTobF851ahS9tKES1bbRJkzk5AWat
q+hYW5G1C6Rbz03K5rRtmgCiQdCxIRBGyBxsOxZu6wKViMmTpCBs3Nyc59mvxKlpN5KK0AhpyYCe
p5SkvrtbzFzYgKQuhRs1yoxvUzymZEiIc9ejyASM6DekbIYHNlZjsFNqo5zAnJjlS9mbyfcabuYE
hSOpdE8mtIbIhQJoh9cMhRGxhs+Hk2WhxnOzXrBIcdLixrWmOBp9WWmK9KZDuQx7CQUD7mSqXP2q
iUErItVLUm4AgVS1i6OmSPYCnIPQWxa2HTXugiguLvUw4gqTpCH6Cl+erJykEytWC6KO2CfS84RT
SIj5tmz6mgUaQ+y1HlReUY71FCjA3OXviIDXXIMuMc4le7+HIqtGaxNjXNqTDblwztlFk0QuxclH
PoeAq0x5LvQ9e+hkQXkYQrjvjUDZqbWJpBlIfctCMc27h6hU07UYMfQH1EidtZ41cEyYmIVjp8tC
4g6EgWebLlw6Ae1W1N7W0li9I7kaGhcJBzk8S2QI74Myd3cTjsGncpqjr6RT9sfuKhQSGGjojDqS
L5xw1RL1Wj+Ry6hToAJzsUqOpKv8aL5KkeAk5Pz4VaIkzcs42clVumR1naxtphYXki2t6iZ8791d
dpU8IZpDHihP6VNN5CyCQ7RRcBuFzjXrcfo6XLVToIBus9RAUFUVkF1sfP4IrQzyFU27WfVXFF+i
9bMM6MzCq0SriWZL88KmmQh4j4gS2BGPDtqP5T3LJgi20wup18ZtDz6p85dVCQZHHCcnyScIxAJl
FYvJet997xsUZAvmItkncMD6bpBLX7us5tJ74DDENw5lmj4i5kSONkLseJ2SPK18hRQYHf22FXW4
g1YhW0ai92N8lbeVV6nblDFfAc9UheGVVzkcPsH5A2NPACcj7k7aVThnLEu4GizR04mrsq5YNXbL
VW4XTgHSu5qwZmR4MvBSF5gn0dzEmRlfqAki2mtX/V4dqDnBjaVRBV57lfhBkEDuN7N7oN4smKpw
gMSDJDBe1YH/u6BpPgmy1zwKlhb/84Lm/nsTxtVPi5i/fufvRYz+x7rGxD1Jjse11fDjIkZWV82L
BXkZTBbCln8sYqw/2H6yvGEdoxPHphisXf9exEjSHyh1sGejxgbCje37P1nE/MtKW+FjqZKEf5zX
AqH28xN+SCrLrKeBJ0aaA/Zr0lfICq8/nJN/s4743Xt8UjGonbUkGvkCVHChrYdzG3kgeILfLOeR
j39erXAs/GNwGAYtHe1TswC0Ot2Pma2phQ9GcqlmlljY9UL4VpRm/tY3bJDtmJStVx73+gq+Gdtm
k004aV3AmFJBDn3eC9tuyKl0J7Mcgd0mTPxFNps5sbUmSz+wAUozoaoJhr9Jl8S7sRgUE9lanRnF
K8nFZrgLUUMvKIvrsj6O6Dxzp7A0cBJ2rAm1tBFQ2BG1ZNYitW9wbM9GHWJmSaSGxRSNodbajpHI
Q5zPgmgYWnLdOwFVWCKmNaObEBsSyLyVlLxrqLIbSe+pylogJ9dO/VrFDSae3igqVJIkDT8ERlVR
pccSJRJRaJTyYeDcBThBa+mbGCZEmIu43bxmbOJLIlKsXbe2Ve3khtQ3Drww4RlZK5I/qGQE2IGz
KZY9LtiOpcyQA9yJ0rVw0QstUta+hFnnWta4zLshTsaX0kIp69Rk/d2LRZjsZG3qMju2FutE0qBe
O6NEkw97mJnvhirtRDun0/AkYYUFB6WZlNWLoR1ydyaf911v4WMq1vxMtQhmUmXFNA2m8h18W/cg
oZ0PHaMWp/u2FZZsAycwYlVR6M1omzOBVB6GCdKE84HZYLeGEJ013jxzRlKHH9W5G6FlYTbcQBDQ
CJKc5/FM2TIcj4rZ5hpsz7iP/FHs06cYFCg2MUzkT90cE2sszU3PAi1XlecJTlWKESdO72UYk0+B
gm/JVWbCml2Mh+VxCKkfpEBmlr3SBcJzlVsZ43Vq1ZLSsWh9VRqyqylvdllCMFe2XNRxobHSjGpD
A0fLtYi1OKm4LrHzBBu3hmLdt7nQv4c9DEJHoohMZnI/qB/UcQLMepUEVo6cpELANhyFGI7CFix6
2yPM77q8i45EWsS4/ktsvhIOxsuomS3IPSnWz7MhEyEnwEdUDwHEptUJCpuBJpLQfyXOM/orqOM/
2iz//2D4Wbkgv94wl817nL//uEn+63f+er6sobXszuiMAuzg1remTf61SdbVP4iSY5e8Ikb+dAL9
tUfW/lijb2m0m4wLHiMr3+MfT5c/wHuur0iUFo+tNerjP5BbStcn1Y9aDHD1tDboSSkaXOkVUfzz
AyacqHrp1EWdVI+1zEk7WX3s0jpfMDaajYvRZ6rs1hKT9wT7zgfYIrza0/BdrydfL03J7ciFsZlb
hFoOi8lWtw6QrMdyQLG4FqVD2kBt66uK2YeLvDnJeCUU2maSigUyiy/0HIILtp9BsM0lQgoP6vTS
YzX14WvEXp7O6ncL9DZOF0uIdxJsjHNXC8+WEcWHkQ3lvdrmkmT3bVu+Z2FE265v9OoUAHV6DSL6
azE67XtdYkZEMDQDxMuhiIVTKwSHfLTZYM80pnA+K2PYK2I076d8ql8VPDYnOVKSmyY0QiqZqwkI
9qnSefmUR5nd1218ytEmHPI+p0/cy721q5qkfcZipx+FLoB7KhTqYJMeGHwNR6V8qJcMZTrAUe6x
ckN2hRVG3W5udJivlrTovthZHxFtQjul7brLwpafC+PCpCMaLzdk2ra+gneJm8WcigLZrNr8JCwd
hVlklRtuCTEeZJp9YR9lXqyZOcjpmHwiMNAg+8SFFXw74F0NjZUlnfTZphCq9C3Xoxp2VSxtrVp4
pYLQnoy8qAgcquTjoqwZ4WqlK7s+SIVXgE21O5SitQGTTYJqOiReSqPw6wjT5UkXx2x9veeu1L7n
iQ5WJo0EmG1CKtzTLW+/Apuo1rUGjmwrhNggyDQ0k9KiqV32WnioinS8W3CM+4EVq3zowIcImtla
JvQbQMzKfmUsebiCVE80qWXYSOhVd2gK8znpld7NS83YY+eOHpS40/cFvmu/FbMQ+1qkma8LPjwq
64F4bKRO23RFZO1DJqI3Lb11FyT0bIHr4MMUrLDAnIpiH6Jvlo4bIsjjrRQt8QYm8k0p5PFFC8gP
otsUP6ax2m2Gwsq/SMTR+3gt9EsmRGsPYirZ7AdZ/rWtlOIy6Bl0fKvJ/Lo0w2NYC0g1whUdWkHv
gcb6QpksYT9vmaMt5PKIGQ0/3hIDRSjUkb44xEenSit9W/Jwfq3kcvgSk1rCg6VQb+KW5hqGVzan
WsbkLZohve0pmNCy5jF/AIXWuMHSRZu8m5onJaraO02k5oCnFgeTXQCVPsHdK0MvFNruIxHGqoRn
p7eKfBnA78rVHSlOw+0ojAFYlXyu74G2W8ewraYH5ArTYqe9wuSsluh5LIfxu9h16mPWzOFNkQIT
oA6ivIpiqz6KihEfRBYHO1GwzHPYago0gRL8GSzBbCOm8toQmUgq0AINxzIuDk9s6BabdGFexLSn
OGNN9HNU2TyPhiIcwkYcv0+VUFxw71ebsY3pfEjKdBAJ4XER+8D9FrifbEtAezTMZ/O9b8voDHe0
90thri/ROBoPQ92C2BXjObrQJa88UC3fRHWCilKq0fTQsma7gH6tWCF2xb5N8SC7/DYV+6CMntWh
L/bN0E1nYSqy91LgQ7QITux+alu3b0bxSW2h7izwIUI76OL5sQrKTRoHyde5VCWsOuosXZRcH2/r
VglOCLAGeuv0h4BAhGLosvrO7uHn4FwJJm3EXr0kGMQRlNA9FF+LatFvxVo0njOSv+8YV8IjkGG8
+Y3cfckaM/T7dIgeIhLXnxtWo5cMXJ7hFa1U7Fhtziw1ssahuNGtQIJJ87EdGkfKqCw6ZINBpa62
lPh5rjSSwdpyW6DjgjRo6bs2zWBVT0vqZfpKhYoVZbBZYzVbY5jChiub9CzbrO6mg3D9hk6qg51W
7FoRo0/fJ4OMmws6DqAI4KUizJuGledy25P8C5JQhRIMnSLYWZPUPMpCU2GwEuYDwqBosrOg69w1
wUSxcSwCa0jyBxNEwlMXB+AVE5ygR3CcmaPRQj9V6iKhX2sGX41SHENFojmNOpG7OjSWh/Wrt3N0
Jb4yKcNBrUwrQDgyvmT1KG1LfRF9cL3LMe6s7jxMfDMmYNcvoSM/0CWTHCurYBc0vbzh+tWY7Izq
nChZcR4BNHllEwf7jGrmtozhaEPmChOPOJDuTKpEfcyS5p6f5fZalQfdzIhko2E6ePV6SVIjFDdK
lMjfFJ7I+8Xohbcwjq2Ptl4JirJRaocFVYETI1s90vLElpbBYLLK7GYY9ewj6bvYqeA0PJRzID4v
AffXYEhu5rDd4VvPE8Q/hnxbSWX6DiZUoiPL8ryVSmOXjXK/tYbSQjoxwHEg1OFAiHHn9DH6D5kO
zTdJqrTbrA6rk9TpmVfVcrTpW0XYLIZ6TCmmgSsYIqdS2/cAy5djGmyeRKEAG28t0HEFodvGhiA7
lOakQ5OtTTQztU6BECe7QRxaN5+qdT8yh1+yJErPJjUVlG4auVCd1vjgD2sf7LL6knJ+vlXoqk7m
IIUPFSEMZ5YCwQ4wKKx2erisEOxAGHovVxJx08DU3lHm1jdxrMquYiwrYL5omIs85aICUQUrdNq3
PjzW6puWs2hanyrqQkKlKfA810ufaiAQ/0hQ/FmSFtFp6yz02ROD75CmccdqC1yKSU/YjLrMkWsL
VmoFGsNZssrYYoKNL8ow1AcBBpmnDRLYtqFLD2bRmm910gFgk9vgPo51y+lEa7X/Ca0bSITnyr0C
UzoCIizPY3oIo+oVgVz9GomNtG3NfvSKsdIumTTPrlyXye1Y9fNxFrN824hS5HF8y97SatHBA076
LuYt5roiDheIaSJsXKUcqe8tg2VT2B1f2E8X55j7ua+Wy7wPJS3dsTXqn4dWEG+lOdRvKI+PX4Ql
191AVdS7cNAHb6wNjLr64s5hkW8UuMgbOB3RSUnHpyqY4Symk3okKA/BUmqp1a7pM9WX5jxvbWrg
I5xNKxoeFilWHvqmnnCVRnF1KCMVaA083Rkw3H6GbeREqqDcZobc6UcQv8pWl5thx06vO9Cj0a6c
hYmafzGRPezIi5wrzgDdEthtUBwA2iD/q+QIrC1e6o1OZRNWnCrllypbeCgJY5eRKRCYzRFgvbAj
jiD0BFZLXyf69wh0aG97Ydz1OFnJ4t0pybRQyskIIMTUXUfHymqMdwC4MW7KfvFNPTe/aK2lbqTI
fJvpAG+Xrlwuy5BWHivA+Czp3RdR75WtYvWsoCe9f9TrsPDFRp4+xE7gDqBqFcmU2Drtpl6GfU5r
4ymEW/88Vnn7OEWAr5yafI53jkP2eKzCTafcNT3AAG/9Scrr935Ry0NM9AtbaKzg8NFF5UK0CEBe
yMnZc6w1kYs2tHjuZCnw5tHkkQUaHBpLAw64pdzuhzBiNjnZqijWanVd9s8bgOhgL0LyFF6XtJCp
aQiALfpRFiug20HWu1FUS0+qSd60tACZRwxUHBCsZEeSYIODjhX2DDEveLe6Wbh0VM6/ZYIs7+I+
HSG2FMJka3UVuNSJ5KOVm8NoZ32QEB3BomufE0O9ZwECNFeSBDghfdGfzQU0T7/Ixdci6hrXqMTa
Y/Pe3uZBo/rCmCHea2rJOpL5ViJvVYblmMpV7y5srR+nOo+2yxgrX3XATr4mzB1RCOAJfUyzUEeT
QdwkUj/j6O4ISgGPs1V75hSM6vhjDgT5QVGaFyvIDkJVKGdrfBiQ3MCRi2XGYOJZcnNg5CwHvhB3
bB7i3Ia8JnshQU8u/CIlBm+Ftm5IW+XLOILuonZQlW9z0XA3awDyS4QrnJtwUW5TQmn8ckiFrRYF
+b2cyOKHzN7ljHpBv1Ssu3foCCWe0Coii7B8rjPzxALHT7IEY3NfL9ZNL8vBcUnafAtSVtkwOwoP
ajcYHaoSe3Dd/ZeMgKTNhDL1ORjz0E+tXPbjmacIpRELSACimV1GrNPsrj0jW5pm9gMQHjIs6f18
AU2vbDruLpBR0saviLXYtcs8389GhhpRYebdCt3YfpQAYg5K3CfboQ0A/muKJ8bJk0xpLoJGr6M9
7CJxvz5r+6p9nK3gNjCL25L9ooc06i7oIUlocn43FwoRtRZRP8Y9elFXM4O7LBa+64ZwL/foLo3g
nKWC7qQ1nKKhJGyCR+yo+5D3Be6UNWDBETiTGCvaTV53w2K3tEF31ZT1ByzbjVuB9nYsq9fPdQm+
RUqV4EGIpPagDGN5Ew15uq+0PNxcG0Yx3MfNMAbWXdmtVaDUVDagmqxHIn1Q/EJHrKdx2oeBaJ4D
UOC73piPSV5N8A8pzp1Vo9H2AcTEQ6glHjDCagcVvmQpKIUfoVxozEhZY0WtEN6xVvtENXWqZaDm
OfOY5mGv87iAxlgllyiHlhKBEGp67dxRsGxslsay6KpGq1HRQ2PndkV9N4qptVdD0fJUesd3yJRN
sg16todNoKgHA43HRcr1ehOZyySic5kHblJzLD5ShFQqlxkwPRlBXAOxMtKEdo4ZPpf6LN4qYpoq
bkSfKPLqISQXAfXTRpgb1daUJbxXie9JGH0qad/rEi/IW0A+rTj4IuTBSxbJH0my9vlR7UYXK9b0
9yJrGiA7U3sQl0Hy48ioLgt0KcM3tUVFXJtlrDS12Xpa6ih3R6sYe7ZRRX0GcbQ42PzLJ4uqHNwE
NRU+oEbRaJJ54vo1DvfN2A/ZrdYSqpGPCsssXYs1j1WPegiHWjhSTpbdvh3DLVq9lZbRIdWnSR25
UWvMpBXEhVOx5d8W1H1jdupJ4eMml47xnCyXSUuFo0gUlNcXs7ShyYwEzYQqxkMsnNMUHNSUHo1W
h1Q9LKOnd8ogOircir2RSsYxCQCYCLRpj9EoFKQt/Td7Z5YkKZKm2xWRAiig8HgNbDbzyXyKeEHC
wyOY50GB3fQe7g56Y/fgWVVdWd23Rfq9S+ohMyPc3dwMFNX/G05oREcGqbS4yHEmMhCljr84on/s
PJoSOCiG0X5qSx42tavJLeMEda8L5WzrNk4OKVXMxYYRAD9DwTZgZRnrLc62aKvonaNZw2urZutU
aR2k3cL1rwB34IufpiCLLApG23w6DCjrm1wrjXbnMSfYhM3oRGCLkPxMzLsQU0d7+QXsIT20jZk/
xJ3T88ptnv5TW11S4aQbq9W1Z7NJyn2ZJN2HE4XinNcWxZ1jNb+ys3JPI3Ws5y6X0XHEUXaj0KE8
zoPV7bGyo/Uzg7siJ8Qfqp74SOzepNxJixrGAVUnC1rnOcv3haDwrjIRBFKeC/h4e/dG4Qw16/Sr
3RIjL/ZAZMRtKOBPFZaLf9Dts+LMCb88NrPm7Su7Zy3koFxS9D6mOw4I3ZEW1d+NvmQsdR0nK1zx
nGvtw0Ay4rmUVAuatK++hXqtP1ia1H8r2Zon6EPF1omExnwC0fqQxq39AAdh3Iq+qDFlSvPoxUXx
m7YN77EOFQuO5RrvWhiHdBzCA6BQwAImYGuV93vukxKTfFFl/qwtGq6SiBKDCkLRwyJt/Z6eduri
MKW0l6USxUNpddO94zA2PxZgsb9puaUfyx6q0KbmTHUsmkw+pTBfnqJmmm64PIaDndrGlRuiPbe0
91+8IbUDbk+kD7ZrfqyM8S0y1wdnqC+XLi76T70a4++l1cznyp3KXapqnZOZGA9wpIyjrnPIdtEH
PnXU3od2qIuPOh6KUzUl+i4rop41cQyPMlEMqRZ9PqEAiOPspMUhp9HyiTYJuWzSIZYHak2Ha+6y
odwg6za/zFo1u64dJR7r0YoPlegXg0ZcCi/8hQvS8x1Z4Uxwy/oClrn8DpSguOl51z5npt09hXnl
bc1E0FbYz+nVnixxnTQ53mxpqfe5081HPbZi8IhO/Ki5rTgPZka1S1GtfhYlvHehaUGDudV3Bmoh
Zjdyj0OR5lfXKIaDcEb9lCeZxTsGzoMtbPhEzSfHatrBfErkKUtsJ0mlZI91n+MmxkdgMeWm1Uxe
CCb7vQzpvsP6q2s/7cWMLvRVNmIjl/IliZtmv5hkoaBrGZ8YI0ZM51V+sJPa2NsZspITOunF5J7G
Mjt3lPWbGtNJTa3CDuD5B2adMqA7vdrr9BXuKFDf2w3Tj/4lCTXv5qjGeXJsFT5zMNV381QBaZml
9PNyKLYDHWa3Jaq0DTtVtY3pctuVgzHeOdHwO2XadGskJSc4G7T4msegcZcxNt7bXpo8/9CCipLq
nwni4JayHydw+ihkjm0tcHzHaNlQrSlBk2gRiYiwLc5IQPo+nrL0PQzTEn+5Ko4edYIbpzCnjTe5
kgmVus19pPu96GO+C7V0lLoMxbniQPyA0ym+DgkPwGKdDw7wJO6xjBuvrujG+1iJ/N2LJkQsNzcP
U9e790wKE3GAXzvbGw7RlIZELWxABinKN/TMysBTASQCOLDuj6J6BDdYlCsCiU0zvSIW21NbM1p5
IFBD2z37+OGdID/col6Y9si6MhWgzRpDPIQU/3AVTbbh7NmtsktGe2AUqBfmN0mm2tm1ZY85qoH6
ojZW1R5Sj3GVzqW9VShpzvuQhQYgukLhe6YSAd5fFyNubf6EFZQUjXxLDWZySCDJmSft9Oz2HUOx
rBpmMFF6Gz9Kg6EZISu+AwGkyby6vUUtoxaN1XjoljIRq8gZi6Cts5Li42n6WExyN36rieaOLYN2
tvB+kmdpKcXjbzJ9JKCCp7schukDnJN714YOP+6rVkvEHLuZacaLezBpWODjb1GXKZ4cEt/gWcp+
NE90aguXaTkItTAIiOyJ0udkxETtZu6We0r9imymd+vWgvXeTTSPIbUqT2PocICHckDtpbIYW2qD
4V6/Rpkjm4BAdSHlo4nhHbzM9GjdYke05RxXBpbbxG/cSvyK4DNOvTZNW0nd7BNbEOYnJj05gtom
1OHBe4gA4J5Yd4enbuEMqNmTPzdufYdbx9hWtpY/l4NIr9Eg7nN3esQIibyYYT7n7Ml0Q6/sFpBg
xd6sjLMLNeLRhR7q8uyE2vei8zgpagbHz000sVJGjh1vQuAEH62sachtHO3R7ow+SBzn3Y0vpeW8
EFjisq+S8ldCeG6vmcjbg+XJQznnUFDc0X7rXPqgaYqUxQ6LTLhb6+A40deGP7nhbRAc0CPBA9PO
aHvibVoOLj1HGwBQxfexG/NL0YwyMNul8T3lRcTbwm4HYTnjPIO10G09L0iiUJ3qdCRjl6B7Bjab
vpPM5/SHbBlFt2zUfhh2O70Xhkhel6noAXON8Rs+yTDcgvpkDRhoNC1xLuOdQtGKYZwa+OO4eerq
LuKau2Knp/nL8Yory09258HYMim/spN411AJf6Noa3poo67bg/GtN0xIKp4PPV46fZqjz9aFkguB
ps6f5oU5Pxs9536pBRcW07OKM0/X2tPlf30//8n3gy6LEeb/7/v5P8WP+t//7V9lWb7kb7Ks5f3h
Sg/Dvo0PGdaKxIryN1nWRpaVDh2Ilk6hzWqt/Yftx/rDomaRmKtrOPjSTfefXT9/mPjUoT8wknNs
k//9T3TZ1T//H3FXnEirswjjMiNWzEfsqP4qyq7kxtSkCmfTR0MP/xQQScbIHd7x1mJnxQi+LI2Z
Rx73IXNTZY6bf3q7/gtLkLHKvn99BcAsXIOfTvzaQAb96yuoNRkOWU9Pqt1g3oNe0KjwMGet9l24
RfgeU/4cB4lVGO92WiXpXmgddjkCQMl2LdAO0SdNmwEEFpnymKbVSNFxJMOP//5l/tW5tL5PeMit
L4+37VrYrv76KvWkzFqoZxN1Wnr51OMof24SJ93/9z+FFs2/vBsO/4HvDr8FIohtiD9F9H8KiUdJ
1GWYenludaSdN/ILW8iZwPmZUsu46cyJ+JX1RTeEXlDfLIBE973pWM+u22UNIMeViZg2mFG3Wqex
Y9JaCuju62z28FN/8RSjSQqXHZirjIeQrL11TVhHzZtVMazdMtCcoV/NXjocI6MSy1YnGt+cHAZM
yyu2k8XcGYNTveFEgHsBEpg4oJXF1Ah3Lafi6IsJohYdm3Ol163ziK8HdgRVx015nrxeY7+QZAwB
rI5A0o6RHZsCfcpypky2qNtAtSaPU0uU/GnldIW6h7ixuL4DXTZ7GL/glZ1byi4GJsb5qd4YuVF0
p87lEfZaMk5ma0e/cO9j3AoPjgVX/S3urIaV2aSGPHAoUUsOC8De8r0etHo5Rhm2WXpIkXfoZiRt
BBoMNduv8zqu9ho5YLq2K2I9x84aNBerUp9duWDZQ7u1O05sJySt6V2vKwzKUWe+E2sF1KFhgI42
qRTsCXIX4xW1y2767i1F3NO46xVU+6l5Nq+RzbRs23XFYvqtXE+vcaShbWVm4UNv68sgXiLX3SJ/
dtyaaQ8sO7QV7tep9fSR+O1odDsTva99LXk002msUpMoQNZQE95YqV6/Ro7UkXymdT+S9q317PRt
bm2RcTTvIJdRd465trj2UYXFRJB6oHj4e7GUffHM1c9junRd96VuhVkdu3BmNg5PWwxbAdjl0+Zh
dgLrFpMGj9gq7V13zLlPPcNrronGIYOTVjxQc1xNcKL1kjI8NjWWlTwUzBCYozgTkiONiDjdMrm2
clcGPuFNOrbK5upJxTMuSjveMkfQm4AAgoVzPzKs4jVUWvEZlXXq0vaej5lvjSi+TtLNoQ8JlJ7x
gfpR82JQijoH3bC4T6FRxe+paTs/9aLR2+MU19gFnVJNB10ssXbHmQFjoDbEzTteMqa7nRizbx1w
9KccoNonHpa+ONTVJB5rpZxH0qHsaxJ3bL9FrtFOwAI656RHnpxuwjCpv6YXMaxp7cw8fU9AkFkF
lhdr8gWDC/uwAN/jI8Vd9loZsv3N3lU7IgLoRrCiFCl6rbEn+3hEadzG1FYBQLRM7c6Ys3i1A04U
DRiRxj2e8kDa1L3ZWFtM4eqQpvi6iF0b2Q4aimHtLOx3+76PCnK0c1brfj3NKglAcHmLj/xTBa1p
mcNe8dt8oyEQJmATzkvHzmrkAyRHWKdoF4vJDdZSPH7skpGCAGt0ybB1dejRNppMagwS4BJMDyFg
z8wwSnnIipY0tSqY4ge6ZqNjGuuP8ofKZK9Xwj+z/NaoHC0Qk8klyGEwfpr6xXzrRAUHEVZ69wI1
MnqxsUb/jk3Xo0qzL0hFJy2JOk/04gVF8h2CUPKR6S2TvSR3SlId9lwFEc3iGap2R7ur9YW+lPWU
3FE/l8pAX+JF7UOhjBWUydaVm7xpG7/9gmmqqLI/kmKx8BKttE0jFIA38x6I+UZ8ATmHLzhnF9k4
OPu8ixhHfwE84y+YJz0f8pXyARCfMinaMybwjqpYtUJAeYABBLW/4KD2nFQ/cfb0nxj41g5bToon
5j3LhzYuyTf3CzOKRgxxdFTqZ+LkjyGFux1emy8saV6Yl9bTimCZ5PAwe3XzVun6h/lFMvV45Hwz
85819IYnLJbxT9gL8qi0CtF0haB6ON4/55ao8ab5oqSyz9RezRWdmo197Pnii6iazAh9asWsetFC
otdc4auAhOCwwj/oCU0zZ/oo5zgnLgoO4kdcdBfnC+IatY5xwy8Vf/ReG/EYT5OXxFqhrxjzKUd3
F7N6rxMzqqhGAQ7bc3PSGPnFjJ3/5Md+sWSVu3JlnRUxy1gI2ixZSK5eCXSQsk70oSKoY09JFqCI
xHuSwKwtoUTgHEhEecvaL6rtCriNvli3OVH0VzjeNnHrLxqu5q1kXH5T6155ov4kLc+Ialohuvik
4ek6X2xd44uzm7sd4iwK6XxffZF4y3yl8hYagN7pi9U7aJN3nyEy2T7aPPUicuSjZnAtkcOXL+Kv
WOG/HBsjhzrPkZsaxyZ84Doyu5rZrQs3uF3i9tdQ6Ph67RUs3FtM6TbZihsu0yR9GPTUE3hpDHjE
kbeMbw7HSJbQL2IxIgq97UUaR49hvDKNPbnyjedxPehnEhF94/YrA7nKp/RxFgtk5Jno3TfsRDgh
vnY6/2vs/JfgwFonQ23NP20D17b4v0Ul734UtMA/VeXnv//fMvmLufMfX/d3e6f3h2RTKQlGImDw
j2xQ/27vdP7A+g8l7u/BAv7o7xlI+QeJRFZBSnEcB3/Lesb4h8FT/MGfkRzktucO0wk4/E8MnvIr
IfAfO3n2ruxaqdJkC2vyf+H9yx7Z7fHFLcLMgr5Rn0zBq+MS9e0WyRKT8ygnA/gD5cIHZ6nPFnjS
bTEaLuwNslul4RnfMrsYLyT2SNHlchr9xYrHY1TG9klvu3wvp+YTBsywJtiOXj4V+4z7Lad55szD
u9jP4fDDXiiN4gHZy9e6A2RQjA+OAxC1SPdYOtEc5kuj5m03qd+d8N70xZCbJuTxMqcXu45/TvIw
uNo2RsK0qvow9PajyIdtG7s+zwS0+TtDme+Jm2ztJts3mXta3PpnP4sTPN4rJbvE5uctbQQP5jSF
CJmSmniwdJsF2wYtwSegWUFrfQB/QKw1Ahu/JTUXatPX3T5dym1vkNFJw2NiEqtmX+/9EPTebGXJ
4B1D3H5ofprR8pp2rUTBNt810zaOTb+8sd/Od0nbIH2P+7HiYTdGY+COVnuUc5ntRw4EeicvU9ye
aFC/TY14KBIHIE1u3qRG/s+RM8CU1BdMKtE0jom6MtWG+zNSi3JnW8MOHMaxNYtgqOugdl7mApzH
nIzaxWu9oLGqfT8cKmn4ZVZiKwm/mZA9gW4ETj0ijgzjS6HoHkjDlpSFoJjFgMvNlG/EHoPX565u
agRwp8G3MHjRsSy5BLJXYdvfoDmTHFiMR7bW03e06JWFO8NHsy9Y0iGiekYKbyXmgajsH7EJVbqJ
7B+G7qD82pOJt4pxZENRDR53G4Jrn6sd/uLyaa6SJyfa2c4xLdWK/6lQO9ExNnHhtJeaKeQT5R+C
w15oPpigw9+iTswHjwg9DS8zIlIEeRWOgQ8/x9hwWYbfaiM8h05uHUc08zPzopdaV++icdVda3XJ
kWNKdtLLPg26vHkGX+KzVbaOWE27AKtXthumjDm0uGdmc2jxrKHwXUw1oSSGXYSzKszvsh5fsJGm
xywZu61VG9+XvvyNGZExX8kEnw3nCxmTuypMALm5SAs7lJbq2TUnP9SnVyVxedlGV+wqzx39jCF0
DtdlZ2q1dY1mSZtFsaGe79q7CelT6mKU3fqGwj4zKukz76SIi91sbwUUjR86xXkyDtgDMVEuuv6B
kP6vSuVvlQuKiiPTjNTd383Qlut62uucAaX4OQ5rQBozm95RoFN1+1ZRPOAo60Bs52ZjmCT40D6V
SMFR/2tR47eW9CO9Gsmx7po9EdgR+ZvyikHHh/eDHMirnvTR5+JEzl1scfABie5eI9K7gl+AlnL4
s+lwQNKoKkpdFK3j0yfP4U1owok23/W6uE0ebwwHyMGMCaeEb3wB5gpZASZu+g3AXwTAQrR+ylA8
4wIY7fAZu2GOaJnC/T2EtXd1AHFxeQx+C6HcHI+Lx26Sy2VTYqakG+tjcbObshNQusBiwtZ7dwrQ
78lGtx8b3VX7pTIT39RNJslr85A3yOusgRxI2fD4dlzUOwdd94BTungqFuc7CynKDXJm+D2Lhl2c
OX6UG8cw/Alc2/eMvkPdSaFT5Vu7r3fWFO2ABWz1ZjnV0jgI3E4Ee7Og7CNOf/eGek/bHVVTxk7P
6wtCfb5pUu+TwXjANDTM1aVPEGIhRGKAwBNlfxRaeQfPZz+0+T7BwlF04V5Ph50Wc5Bo9FNnNHuv
ojXeXLZJdJ+PVoAo9pgQbPezSp10tDKsNMutGptrOf0AFXEp5vHO8Kr3KTexBywnmaAFpNm5xODu
hylp32RCjpB24sdm8kTX+hqW1LpD4SRs6AWiSqxytDmHNC253dIA0CWbe7cub0XqnQi6BGS0fexH
2N6ah6pjfCzMYZvl8pDKmIPlzFh1TplAgzRrY+fIUO7FjNwbsW4/85z66lGP5ZemyvyorBzfxu2I
rMUVW0iVHmKZP/aF89AW+r7p+pcoydJ7kVuXZChwAL5BkfYNrfsRTWrf2Msd7qDnqAKFzTu9sezp
WaIpbpyxe9Lh+2DcHz+Gjgxu5P2ecCkV2XKXW+kTlmU6/SGCB14vjX2qnYz1FeRatsV4DzewNfdp
LsgrdAkW6fhOGVCjTdnpNNWTQI8dbAxk14hFB0ZZP4+2YjyN3brYh/V4tiPBBTd+LHPTXxmEP8QV
QTnJDbEzS+uNjNOB5pwX1zCqrWu50E11DHrZo90nezG8Jayi/gCn6Sja9mGeh2OLRBriThmnX56i
5adwGS4m6aUvXNYAQEv9oJ+wcJ2cmLsRKNHZ1Y17/Bs+AKWU4jiFgom+WLvx49BhbLaW2k9M/VfZ
LUdMhfaVrIF9MGb7OQZhOWT2PW2Lw0ZWKfZSHLuGrk7YPk+954U+dS5+bdbnvglflzTG/SePFWbS
hnpBoB0kxOVh9iyw2OHYnWNGVVuNA+7Fpa0P14P1LsLafnTbHooroojlFdyny45A3DanoCps46d0
UQ1GSdiVkYk2SphL16cPM+pexzJ8mMPse8bVLMZfnpf4mHvSIBrmq9mtGLSkvtNVRIFRGlYcuCHn
zRRlHPjFCur0PMagSfyrM9W3XC7tHQ0Mci9Ud3ItY+MCEj3iMfFeB9c8zo32jKs52Un8NtfC1KQ/
VhOgDEvq+Vb1MHg8MnRsQzFimleHaIHqQdaaYOf3VtnIsxFHx7riiNDWw1vjkYUB344HJi6k95RW
4RXXu71rat7EKXPdHZe7vh0lj5DK+sndAnsmz+/sor/DnuYcQ8nHSHFXwOS8OzLN9d7IJ//oOAeW
iiAHRqiNnotbMWRX3fGqHyIL3autoaWQpdxPQg9aXYz0vsH9TFjTHLoDN7EYVr6LW1yUdDUf+er3
gG5T5Hq5dVsMVdosztqS3aDjcPYOp3uzbKjWsurDlK9Fhy4VeDWxCVaCZ0im1xYcUVuCJRmHO72P
0vOYuoQHLJx6dCG5zEdR2JSh4eSg1VT67WyIUzK9RHIO7yHq/Ui0AXenQdeTbvc0JBIdwjBFL5zl
CAG8NCSlBI53R2Uk6ZesWb9l6+LemMtTxaQYN9iEzTHiK/Q0XN+XjoZD4fFPzFMgOGrqOaMO5Ka3
o9pl5kSUoBlhv49e+27Bf/nzL1cuWQF6VcsTBD9373qDd0ErQ22M0lp8y1wkw468/vYL85tRnSic
aDtRW+S7iAE+7yJBiQhkyNePxb7ANwl5F7J0/coW5WvuQhHglPmloMFmAHv4bgrO+XPTQwbDC5nI
65gkjc8q8ogYD7i8OEWg5ancqu+G2Tv06FwhsQ6K87ZA3dNAS8VZCHCTGF2dk4DsgP8Z40eRYGky
jPah1YoXfDCvWGQbLpWUxopWb0kMMevzluq7blZbjZxTWeGQquaI8tDqSW/Ekd4qPdDbRO1cI9f9
YmhvmpPdu1p98qS5r631UY/lMRB1c1d76W6xWpJOBG4W2ugQcb91qn7SLHuEIGmoM7nphFqoZj4w
ZmbqW5m3xRKPOR7xrdSmW6qndzKu790iesy77AIMfgq8oQzP9tQt7II8vAV09TGSlMOBM9t3InEy
8MrUO2NqLdHMGRFKJ/yFHxQSVTpdpeHNWzsqhhvdSeOO6lC1L8a4OupGulyx2hc3OPcfXEko+pLJ
nlKJHQyho9Yehf5amcYQ1MYMu7NuD7pn70pvaoJGD9d1N2JnwIh3QyaPq4WKQJwPyd5cGyqi8ETT
VxJgWZHbqbH7wE5G8zIx1aP4D1O63RMocL/L1PpICT37lJZQ1DFUn0Tvik+CbmC2RBfeeTj5HqGE
LnduMyi/8EI+CVscMtJ/PoO6Goft7HMDgmOxw9jXleXd5TbqdIZLxmd1VPe1U6ZMFZPELyMPexo1
NF6A811eVu0/Z0Z8SOI5fTBGQ+40WiJ3f96yzZw/ZQXPHLCqWGZ7N99HVc9/Q2k4R3qJYj8M3B6i
Xu/3lmu5RgKixMJj353DvYlMpxNBt3DvWqkV3tNlg+XAXdYvz+m2JGXkXs0Fk/42BHQ2s1sle2SN
bf5UFUR4vlYIykPX+1Xrjtmi+GldHiPde4IXMxTulhQQdhoLvPqzFa5NbWSDCDsZE2uLEiYjQcVN
vmjLoWs78lFqtl6QZLA7ZBTYnOVkWS8yNevTBCP3UI65zntLnGgUfEeBMf3UV3H8pPJZBC59KbdO
ytDb6Gy1ieWoMby3RtJVVqdW10KDo4DrtH1XOlnE/Z9LWaZwRlgdq1WUiYFyyIWdiBA4Hr6Wq0gO
vCt/vkQmGfWWCUX7nlVJf0wZAn5GS8RrAmTF6KrlctNzVAukrrXRrKt062WgOq4OimRwf1Qpaxh+
EOtFT1hnNxG5LQoPqX8Uuz8Xw7qbPnD9C7+KvHyfmXHCXKsiXaXrVg0ZNcIv4qz/FCZjuP9aRa12
NZHkI98vUzV//8+v0htW2IqQabLaW2E0VXIk9oUYc4qYPz9nzmpkweoe8+tylGq55PlsyltZJBXb
8Ur/NrpetVe1oWEvnHANx31Z6JwI0pCC0YK/r5pCoPjoUJQ341p9s2thXgWEfFV96NACzzynKVa1
BoF+QY3BXpbVWrNY1ZIzPWuXmXvugxMbPIzjIta2Uzs1sZ/yPp2F8vBFCiohr3VIS6yd9OhQoCXR
hXA6HPAsxsZGUk/gQ3/Tvy+gK0/zKLQtXOjhpC9iIiYkx2JTh5l8rCxs0Ju18ujdrhcbNwonKyaR
eqXeyWJqrzKmC7idE411vVLroX6R8tgKLbkfUr3CyNmI/lsH0NKCiNpPJ1OKBaaZSssDUHk5PHnk
leZ9oTTkVb3qgoi/Fhg9NGfaTwXlLLShflD1550Gs8J65qpvDDSWh2QcVdB1nAn8nI/mjTgCVYxp
Kp9UbOqpvyxxvG+rNDqGEZ0HGy/RxbkncXWti1RSopuahr11xRBuABaGR7CltXZAn08vuBbbjs/J
1HAcWiSQG6u198Uw5K/j7Bm+acfD1egwfUZxFO5Rq+s+sOohR4zNScvQbcfzB2sxKuVgH0BzTi8G
ZRsfSxqx/4an5J1cmdSY57DhjBvOP7G5g23enQzVqntu+gnbp1m/jjDLIsr8JsZfK34wjdKoDLDV
k29q8YNQLKSdaAytEBPYMd4t9rKcKiZPJ1RS94Frbr7OE2YhgzO/h45TSLqUTb0sMMzqDD6SRH8d
KKKgynsY1KmcjNjajmkbPlpUbR+jcWRqVa2RIrvIRwTc2Ws+HVqIrnLM3J0cRN2xkzbSq1FmQNjR
VMs8IOGQpNtqFtoL/xpBHszFO9JiSzkS8OlP1+nwziKFu29owM7z2vh5pScKsDHFUCQ5NPlYIBmc
lG7Mt8H1Zmb0+lgfhYrrt5BihVcNgflzHU4yG2xouWIJMWLyccBjfXsJ448yRQXHgFQ2FsHEvH6u
iTe0J0GF2nVwk8LZJEbXfYRTmV3m3GBjzEBhq5HX/BgFn+SCQHbNiT+6uybCufgxWiGnB1YzXyyt
eaQyXO6WyfF2budUV3wJ8pc0yM7SRUlqa6YnYynVyERyoBzc0l3Sv7ZlH7op8sgtQVvVFys9Ccvl
COnqIWZAhfHXrIui3ZAS1R8aJyooAqan+8DRAJ8o2bo7xoK0NfHFIkkudh79GPleFy4uBy9Y2INn
7b29TCtk+YU0ymXRp9V7lWKaSAQboVniT3ON5AwZqIWjaGgPYc6JaKEM8twZbMF1o1ePhmlSKK4r
F6Ptm41f7523vvXLtsqvhSPbeLOAhQxY5bXt4ObylDCDOpCz+jA19jp1D4d6MsbiiGaErzme5KOy
EqvZkH7pAx5i9SWMAeu2isxXLLt5k9slvLEinG5LOLN9zcPpTN1L8dIZZOWMRh+eFD3EGyIlzAyL
GSx25YVMCCJbf8QnPV5Mtn8+JW8fajUN0JRMk5MdshEZF5HfJbHFQaAzkfJDXKfgtUs+rLaN9CBm
AcVXwBShN+eQJ5RJ63SmNNJyWrnVqV87NKbq7m2VoLLJcvlsMIsdDALmJxtJduc6gxbgIdCuCRLS
b9iRpOKLcqq4QWr11ihyh+tQ2qnxda/4TErDxRz9QNnl7ZxYs1oiFfc29nmxCZFMj3lqjGdyZ/2B
BYFy9iIcxHlcvKTem5jY8StzOv2edzLHLGDK5GFUZVHviXTEH9T6JmcLCuUQlPFqiBQ1Ax5Ls2US
JHk+/lr6Jb63hSdLPwvT7OtKtKYTa4k4gG+znjyiNt8pTscVIkXtUcMVec+aq2NRb72pupRu4cI6
7j33mA0WXeFlXtqvXS+tXxwTzeRIN/mwr01RbScCVidq6Cvh43C3pl1LYQSTMrPWfw1ezNGY1Xmu
dj2rLe7gxp2+44zNflRSrSHOgjeopVNfo01RG2+kFafr2NjmaUkq7WWskBSGOaT1Fuo9U6UC9SvI
pjS8G/uwucMGH20J5Y2EvRsiHhRHdPkWzVtYPp6j6fscj+pbVM3FjUA3o3ruwxtVCTz+4NiL1xgJ
mRbWSbeDuc1HBm6eZ7IDCWW8K7xmIEWYuNtJeUbri5xXwNwmEQ9dPvQuG865+h5mNo1mYOYjiHZR
+lg5PcXEqeEOnOnJIF6Uu7jPI77B72ItXc+JcgSmIet7L+/iQ9nkty63jXMZoz8mngrfbNsdAg5v
jbmrzby5hDKDwVh4U4SobvfNs2LeFiRACTuMOfW0iwcNv8xatnxocx2VNYOcfT8JNT2mGhWsGy2b
olsVh9lzOPfj58S6XDBWnFKSibMXJTw8NKZvC8bZdxYSXsjC04RMReGx4EZk/HB1VMXou3M2fdB1
lDNJG2iVnRZPPzoL2bg5reOt5lUeNnzHpCKgGWr9k414e7CoG9rVOdaOLWoT7uEumvrHqCONsFFG
aL6Sx46vFCNqwYT182R4tX6A+HfUB9vpQCdM5R62t7XjIjNOVkYBIEOQqH2YDJsTXdtHDwYnpYSR
QWlxB9oDdQamfWTLLUx6ohBiA81lVmPRU7hjfN9+DKQsiaGF7q+4irPan+fOvmdgwrNzbBPjjsNv
y1hzdMliJYODElCmTIl9OvaT84S3fk9nQ77VJxC1Ns5wa669c8KuAFyi1ZdP1AiQe6stSuc3bWsj
0KZqm8WV9lRZOk9Peqv9JcwQEijk26hCBH0RPbN+PfYaDmrNYYae2MvJyTQRzCnYEuoJo8+iy19m
cw5iPLrX/8femS3Fjax5/FU65l5Eapcu5kRMlaqKYrEx4LbhRlE2HO1K7dvbnJjrfop+sfkJjJsC
N+5jHDE9EcOVTRXKVCqVmd/3/ReKDaWXYKlw2hqVftVTzNhkKbjvtvFR+ivN874Ot0pRrlwH5w50
GBcuG4+ihe8gMqwzZfJyoJP9oJ4GMnxLEoScT+KvqOmtsirZ+lGSeL5lfAglWH4hLmvwWbNb+Tp2
+6vCt4+roswXI28sKkaxs8zDcU5vUauHGL914xo+PaKUlZZMm8QU0Qr30XHyqtH3qsC11rP0/Ruz
kePKzV3USowm+oBOVHmtFpjA9gDAT2ssT7aKAw8fCYDKOJwUKwaCrXbin642Fm+YtaxSBggxmEfT
ew2JmKNWyRs4cqHdvqv0Lr9wgkZdlbmgpj6ZIEWM6RLa1rFNRWNJOYowTBViNaW9cZx0iPih/QTY
UBk2ydAiyllMsUYgGCenxPOcW2HTbIMM6FhVoYcf6jaM1BisUCNwKu44wxxFkO88N0MtcxPC+jpX
pNreUP6V5NKpkwxhX22koTlUGkbe6MzRjwGfj6eFHtRvLEWF2mY4nX1RdVZ7nIT2xEkTN1obnsK6
LjVw0Jw5lxayhUc53PDNaBTR2jUm65OC0zY4K5l+rIHwey5eBkdVCF9UqYXL+TexPuhGqK1QIZ22
aR5aa2PUkKKCdJi9q81YfWMUSrtSNSQrst51DsfRat4r/qCvW6x5P6Nc05xm5ei+RVUtISWThJfA
MvJbMeikQeukr0/TQhWrxujjI9OR5kmvxnB0yewNm3RG+QsVe4sxMQmbx7Gyl2EsiUdCSk5VLJIr
narEOkj94AwyLmnB2bZHjQIQghIRHNRzlDPqZfoK0oT7LsZI4SyhPkrhRC8OU1/BKdua0yJWkxz5
kXElEbNFoqY1Ed3pw9s4QFR8RLTnXDdrJhL+zBqwpk7flQ4jN+iFv5U9FZxsENXFbLQMjD6hQxJq
rxqPxalTgAgMJzvwWtazEyW8S0IZMHTBCRu4k1P4k8LFJ4Si28y17fHaFcY4YS8TIwaQTSpcZfQ1
UHBEDmAbinFa47UA5y4pAxaUuRjga52XTmjU6DKbPsVuyolFMyhLkNs6xC1FOY70MVxpVi5WttX2
x+DD+y3lzxpXEU6vmW5Mhw1E7etBoWg8UMI/n5AmW7TFOKxKEVeXrsjLNfIxG0L0+BjNEod6lKtv
KN+0zF1gqpw/O3U1KS0jgoiBjfyvhqLUEXpz2Tu0Fpp1AD3o/VhNqGkjOrbOUyM4GTJLo5oZQsnp
2Am3Wja4KM4FevBhGGPnwlKA0S/MNpJrCUDobVCE0Zs4NXo0SNxe2+Z+L6v/h6XkXlQ3T3Htrm4I
zKFegqWc7dDn3oe2f/2rB3C7cyDwZXaFjr62oT7WHAPcjqcqOGnwJ/ad6tgfoBRNQ9QSkDNal1T1
NKS5/wClaNaBjQblH2KY9r8DSjH1Gb/+CJNiWEIlmJrNYjXA9+7sa/vYdEuTmGZSHG49dhACKrMv
O+Rk1Jx5qVWahApqKVsDDwmQ3TLHdXhoqL4vbISFdwaUNm3JWwugJAUAwId2X5Ah0KLKZ/MWFOOd
rIb4jm91sLV8rRXkPGWpzjS1xljmaTx+djAu8pegM6qrSmululSiukXs0GwprYx6Jt6aSqAeB31N
aXfwDdLktQAesQp6bDwQB6wnxFVcu36nR5pWoeFTVwVxA7Ecaw9nTk4NwvjgWhmYNxGRBfIz6+Mk
GnaxWqr+YWxV1k2jDcW72Vd5N5qI/y5HIK10oooYgzhIi2mZgLFAXbCZSFQgLAPbxVFaIk4TEqtV
wfTkqFgR32NOaeApBCSM6k/VgQqQM4loaSlTtBvDArxz4vtgYcNwIFPc9nGDpUc2uTunAci40LIQ
3cA0HThstqjfcCqGcQPRVRkPyYdy7HWCtE88+lp/zPOs6alauvYW963kAnhmfUkmCRnoNIu0UwNP
crSCMD7yyioykJILavuTDBvnI8bvHHJdko+EUgVPHS8sV11Rym+ORd/np0Ef2b9Otjr5Hgza9G2d
sq0syyLvr22jAOqeUSIn09CiXYI+xXXuyvI86kZckyZAF8ZShfDawOg0ExNdIYrYl4rlhDe0aIqt
okfme1RF+mjd+VPneBgUqeO6RIclZl3Vo0/gJctbifcNmf0gahuNg4Wb2d6gx+j6AkNAYEXD9qBe
sjRTiSJDZS9k5Zq9NycHfiXLbdTbKHabo8S3gyt7NOJjYJv+rvJDCXzAt+tynUq7ObfyfNrlSjpc
hbBflYXqiO5NVIzZm9iY7bNDzFKQXbYnH+zqNBdIW18HvjTlsuf0rzr2J47GKMhIipC+l4xlqjD5
HOdEiCwBlqBO01uim/ZNqVpg3x1pXatUE0AP9W11InIdTRmDbOoYpWaznOocohKw6WZRZgXZFo2V
/51q4ZCHeGg2R4RRY14giBtF1MPcbk39FE0tYch6DevfPUc/tYLQWA/Afwt3Q2SX7dhQU6xo2K7w
N+EIi65nH0pnQ065O0cXq6Zq6Ij6ugajb63kNKAepkADpE2bGJB0eTz6qMuo1WlPvemzUzq1v+iQ
Xz9uQCUZq1RFe2E9BVTbF6j3GPkqldPEqcCQibNpzUyE3hB3k0Z9PjLPsc5pryen1MylKHodXw6f
lAqaGQkgYkefKbt9IpobUPV1viZIIUvb8hCppUNHWJukuIj/2ynpNpzQQ1RXx1E/GWyZv4sTtIQQ
PPf9mzacCBxQ7jd2IKWYjmUpU3VB/QexWbVQsyUQbQexqYKK6sLAp2rwSBYylaqYJO8iCHuI0QlE
hYAjbhlYSxeS8BUs7fraAG580mPu8glnA9NatEQtOudAkiVIgSDUv0I01kJ4Kqrti8zAOQ7WBjIi
sdogHkq6puKA2LTkfJySjii41flwUHTzKo5kB4yh5zGuRstv1kR0hoaerdDKQ8vuVcQaTEApYmpG
9LU5NP+amSlZMEMk5gq5uurUx6EngsA5pR8gN+GJBzKw/mcVpBTSyU72JHXhLXsSqkS0KpFIy7yu
UMLPTh1WYg10HuHJsRySWzTalHqppQPE4sJORtvD3gmJm2EGEroChPQCfUjj3C8dMHRmJOXN0Pru
RaelurPo66o59zOQ4axmmovyYzbPCaHpAx48U29suVe8WpQ6YsErYF5S3IwEcmoTEkofBpQRSQGY
ZLRQUQ1T6nvqEH8s+sxuFkYLnItMGZAZGUrE7dBGeC9jC724JEEqainavrxwAHinXjCanbUKOAqj
nTQIatHCDeaCRphCqYE0DfM0qAzcgMCRQhasY8qPoAzuNPQygfhdAJX2Ewx/SkqWLNG61EPLo7CZ
GsvOdCplJWzW6EWGTFQDMaIpPtSInmTwKmHhcKCH3LiSCm82y3FnHIFCE9kmGHXmdhpnb9yBw6UX
UFW/igHi6euotRXKQtjilBtyJGShweDEN1FaWtecrh0srVoqwiAmXEMBpjZoyVGMEsV711SEcTxN
cnIRLRot3VNJhWloU6BVR4V3hFsjhipKt7WDcP2ijtD6ImZpjfcBB1pyHnkRtdtEmP10mDSYfc00
5sojRWclnix4tZc1vjMkrRtbAOwRTiM98rflYVCAQt2KPinJi1HDTTahoUfKoSRr2MObk8lwQcYC
ejyLU7/QhWH2b1HrhNMS2jK79jvowN7YSJhuaOcH8VpENTUayPTWISwuMitidEmJINwwAZpVa98+
qnOV2MOYWqvajFKPz9tCRzunA5wUg9Ce4jnlpoHjmbSZShz3NsFNZMjOBK9eWpgBwPMpV0ETDfWq
cvsq32IrqLVrYaloN6kKLHYeV9whZ9UMKeqUkO5aNE8avh9aUYaU9FSApHB0Ga50sje4Grb6eIFV
+NAeOTJp202EV+BlBTDOP8ySHDjcUMbiEsy/emuQyNshPExtWuYBuQXfCHsM8kigAqJsRPqpxwjr
0icJd6OEAfSRfqTYT6Gzt/slGs/lMa57+lWVkszAEsk1rrCjIpleNaq7KTksRLwPcZ4dkhPyzyGw
FB2ZEK0OvNRM4lWvTqWKVFQCTTkhL4z27JA7cwSGUCGwP9s+q3G6RF6r0P0jqeCM5zXcsraISuoY
S70exXtBygw5QwUkPGIXubVMDdWpln41yLM8NhxktPsESJJKeRzpIwQVL9jJOMw1tWafhb5pooXl
+JyoiP4KwK62kJdDnBYW5x1LlQutxqECrc0GrGCki3LwNLsNNznGU6CMslq3Vjgs2m/T0O8+YtwV
XBgIQGYnpTLYN76egP6rtYqJIg1TUSggJEgxhBXSzEydvhWrUHTO+xhrJ5YDZZp1TMJRXnVxzBPJ
45ztfpzYvak6i1Jd2UmkR3BVbG3w9AThS8dH0hblycligYkKHh3jEPSEkVDSlhUabzDTXdJqnBOn
DBepDihIbPXJhVUDW9xQEaPuYKK80nuxyKCTBtjechjohgkVo15juU/bOiCjykZhIUYUZu/V0kUx
iXR2Gh0NTTaq35GK3yefWgYi8WyNs0EQfFr+OdM+H9EtCUhNC1XU2IuRoUCpl/xHreUIWylq/wNN
WTqENtfSTEyHnphMmaRkOMW7sddPevMWWmG2lJ2jXhmJ3q0fBWpn9+HNY2egfbLqfFc2BSdIxTAC
iKSMJ0GPmMpoLBCx9Ip+khu3Tv9Z6Va+ermR+SJ7kRWNWKohBCRkF9vkJ/dT6yqs3TaKvcKwx/eo
vQNeUYzwxFHy+hRSZnqK7mVlfYcu/K1be9zqk1tDcwFAQHind95Nh10RNRtZd9rhy/f2rBUkr01T
tfFWwMSXGHd/WvhdSCkeP0tP9LXpqU6K841EP+flVlTi3P0hvGsGUgZxMC5Wqr7fTN5EbLzgJMjg
F4eNS4kGwRBlJUWMw5JVizel0WbrsLSR5hj8YY3INVgZMNdnL3dkdorae5RP+vHkLTBADSHGrVEQ
qmDBDqZdbWx9Xq1tss3snSuJShM13x79414E35lI3xpsC6AS8FDbcKjS7o+CNen2CPMj8lrAj6tG
x2NWG2r5ncF+9qZzj49bmZ/F4zddRpDH7TbynACQg1la0CGCtltLUnrey8P5lAjDm4elGHIqlm7D
fcXxY78t6dt+GI0GprigK32keNkJ2EirRDuKpF5et6E5qVspc3FN/m7w+gaZbTuVmbpJetU4LWLf
sBcaCtioCcbJoTppCrQvVb8uZEJIpHBENz22C1Q7Wrao76xUzx4IKyGvNYUQbM3g5T/h8cRdBz8w
ZqXSNPRATSeiEh5F6vblUfpmK0jWW6bNOIGL3B8kaoCU7x2W3sLQeL0cPVvDAzC/s148e+zcy7w4
aRxqTRasuRePHntALW2EeQGMsEOQPAzxo4rIMx8OkCCOX76h5wvirKWv8yoLWxCMz6moR00RVLEg
R1HiAfQOPk9Jm12aKMyvyxjGSe1IBelvioIvNzo/i71Xl1XYRpaAPBqcMFas/UbNYYySklwDVas2
OsuSlqDGHvIlaFYNuG7sk8fpff0QcRsfAtpXoYuzv7bL2A5oBEQoCOafTpNhqgsFRRlWL8uCU99q
yUnSEAL/QCtQ1KDwzFoY6tMbjFvOWQiheLbWdWsEU5K1OgeTL7fyfClmHF2mPKw1x4Zi92QplrbI
cqLW2PMlJ1mv7GVgc4aymwY+qGY0C11G+skYUmRb1pXIeRMBSVLMixOKOk5RlN/p0bx9Pn2w3LZO
7pJVUXeedKhDGbMswYQgi1cam4Cz67vchDwWV4WF3Gvbud/Z855PXxh9wlXxZ9AElkNPFi3KKobS
wVmY8/foYjeI/Hq2Ih1QoTbxeVw4J4A9EbR8eeSfv6A0S/rYplWsdsWTF7RRTF2oiCZ6AVkmGGbx
RDWxhQ9NvlazvjOZ7nbUJ6OqsRxo2rwWwF19sgu4+NLhBFDGnrRnhcxoQLQirZWL0hS21wEzgRUR
qbjX1FIbTlUxuW+Y+RI+OjHspqlaRNiQ397cjcH/WTLsl47PTNUVh5BmfNfeVuP5bd2mTf3AEZ0/
PUP1pbnEd+dHvvTyhb5QZC/HAorsDunPb9Yx2DhcVoSvy9bXTt31+KVrpDv63N5wcUV1D1yVkpuY
T7PzD7MiJRJ9+NzQD1z0k/iOfv857yItPhqlPxuHl2/xfkBf/s5Lt3B7N+zbm//8D811NDr9umHQ
9ANT16nXOM79bT4dBuuAIgrs3tludf5hL/pfGYbPsoXyx3wMIpnvSS/9xanw5AKPp4I40O9+BJd6
PAdM/YDVkR97Dqv4uW/qbzUH7jbHV84BG9cfIkYx1+fufvaHwXAOTPZbVuy/7aswM+Rf+yro4oCT
AHEtU3xvFqgHGgdKzngckP+eswDJsPv38t5H+IcWRAq0rphXAVX79izQDzgs2Rhz34+C+DcWxL/w
xnzdYpaw4W/uNpfotv7WHvRnX3hYU59//mU9nRdNasV735u3mvum7xfW+f//2Nt57pb8Rx8+bAF3
zXz58y/397zlvbYeburhl4fRbbWrPofj3Qfjl17e60P81+fq9vEqhxnXw3+/uTt+XQFevGi6C+Su
frjQPB6EJ8ycP27v2bb71y6c7SaZP7kyVLjXX3mxC/c1Mu6P6a/t8Pr2hrFPf/kmTEKdAQWvbWFV
F7//VkWN/OViB57s4YL3Y24YP6GFjYx+/9f+w9TuRANf2/XTGQQS/v7fe52Gd/4zOn26Y0QgXeCW
NpvAX7Tp45Fhi5kt7F5/A18bebjY3YFJsI0//OLH3yIwMvsIGdQ25sDptb2esTe///Zp93Cluy4T
IP2E9/Pstsp32af28/4jBanzE0b7POJR3v5ytEOTtdpv4H5feu3AzA1smJI0wpR5I6tmb2nU2PwJ
IH9uK08n5v0B47VtzEvB7pclQVQV5fsPmjzET1gTLnhrfznbYV73MCB3s+g+Unh17//c7vguKPnx
V+pSfmZkQGM87rWOZySHutf2+s/FWl/Z6VMeYf3Lhn0k2u/3fXj62n6fRbv2998e7n9+jHPcqz/8
4scH+/zPXUVfOSLfEbV65dVfxCa+8trL26eLuqtbc3b1e8P9rZPf1yzB8/PgQ/T/rT/bP+vO3/ic
0q1//A8AAAD//w==</cx:binary>
              </cx:geoCache>
            </cx:geography>
          </cx:layoutPr>
        </cx:series>
      </cx:plotAreaRegion>
    </cx:plotArea>
  </cx:chart>
  <cx:spPr>
    <a:solidFill>
      <a:schemeClr val="bg1">
        <a:lumMod val="95000"/>
      </a:schemeClr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411">
  <cs:axisTitle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chart" Target="../charts/chart1.xml"/><Relationship Id="rId7" Type="http://schemas.openxmlformats.org/officeDocument/2006/relationships/chart" Target="../charts/chart4.xml"/><Relationship Id="rId12" Type="http://schemas.openxmlformats.org/officeDocument/2006/relationships/image" Target="../media/image5.svg"/><Relationship Id="rId2" Type="http://schemas.openxmlformats.org/officeDocument/2006/relationships/image" Target="../media/image1.png"/><Relationship Id="rId1" Type="http://schemas.openxmlformats.org/officeDocument/2006/relationships/hyperlink" Target="#'Perfil dos Leads'!A1"/><Relationship Id="rId6" Type="http://schemas.openxmlformats.org/officeDocument/2006/relationships/chart" Target="../charts/chart3.xml"/><Relationship Id="rId11" Type="http://schemas.openxmlformats.org/officeDocument/2006/relationships/image" Target="../media/image4.png"/><Relationship Id="rId5" Type="http://schemas.microsoft.com/office/2014/relationships/chartEx" Target="../charts/chartEx1.xml"/><Relationship Id="rId10" Type="http://schemas.openxmlformats.org/officeDocument/2006/relationships/image" Target="../media/image3.png"/><Relationship Id="rId4" Type="http://schemas.openxmlformats.org/officeDocument/2006/relationships/chart" Target="../charts/chart2.xml"/><Relationship Id="rId9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1.xml"/><Relationship Id="rId3" Type="http://schemas.openxmlformats.org/officeDocument/2006/relationships/image" Target="../media/image2.png"/><Relationship Id="rId7" Type="http://schemas.openxmlformats.org/officeDocument/2006/relationships/chart" Target="../charts/chart6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7.svg"/><Relationship Id="rId11" Type="http://schemas.openxmlformats.org/officeDocument/2006/relationships/chart" Target="../charts/chart9.xml"/><Relationship Id="rId5" Type="http://schemas.openxmlformats.org/officeDocument/2006/relationships/image" Target="../media/image6.png"/><Relationship Id="rId10" Type="http://schemas.microsoft.com/office/2014/relationships/chartEx" Target="../charts/chartEx2.xml"/><Relationship Id="rId4" Type="http://schemas.openxmlformats.org/officeDocument/2006/relationships/image" Target="../media/image3.png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microsoft.com/office/2014/relationships/chartEx" Target="../charts/chartEx3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</xdr:colOff>
      <xdr:row>0</xdr:row>
      <xdr:rowOff>15240</xdr:rowOff>
    </xdr:from>
    <xdr:to>
      <xdr:col>30</xdr:col>
      <xdr:colOff>47624</xdr:colOff>
      <xdr:row>6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DA25C40-131C-8520-DC2E-09B528F4A28B}"/>
            </a:ext>
          </a:extLst>
        </xdr:cNvPr>
        <xdr:cNvSpPr/>
      </xdr:nvSpPr>
      <xdr:spPr>
        <a:xfrm>
          <a:off x="22859" y="15240"/>
          <a:ext cx="18312765" cy="119443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2" algn="l"/>
          <a:r>
            <a:rPr lang="pt-BR" sz="2000" b="1">
              <a:solidFill>
                <a:schemeClr val="tx1">
                  <a:lumMod val="65000"/>
                  <a:lumOff val="35000"/>
                </a:schemeClr>
              </a:solidFill>
            </a:rPr>
            <a:t>          Análise</a:t>
          </a:r>
          <a:r>
            <a:rPr lang="pt-BR" sz="2000" b="1" baseline="0">
              <a:solidFill>
                <a:schemeClr val="tx1">
                  <a:lumMod val="65000"/>
                  <a:lumOff val="35000"/>
                </a:schemeClr>
              </a:solidFill>
            </a:rPr>
            <a:t> de Vendas: </a:t>
          </a:r>
          <a:r>
            <a:rPr lang="pt-BR" sz="2000" b="1">
              <a:solidFill>
                <a:schemeClr val="tx1">
                  <a:lumMod val="65000"/>
                  <a:lumOff val="35000"/>
                </a:schemeClr>
              </a:solidFill>
            </a:rPr>
            <a:t>E-commerce de Veículos </a:t>
          </a:r>
        </a:p>
      </xdr:txBody>
    </xdr:sp>
    <xdr:clientData/>
  </xdr:twoCellAnchor>
  <xdr:twoCellAnchor>
    <xdr:from>
      <xdr:col>12</xdr:col>
      <xdr:colOff>594360</xdr:colOff>
      <xdr:row>2</xdr:row>
      <xdr:rowOff>161924</xdr:rowOff>
    </xdr:from>
    <xdr:to>
      <xdr:col>16</xdr:col>
      <xdr:colOff>556260</xdr:colOff>
      <xdr:row>5</xdr:row>
      <xdr:rowOff>146684</xdr:rowOff>
    </xdr:to>
    <xdr:sp macro="" textlink="">
      <xdr:nvSpPr>
        <xdr:cNvPr id="10" name="Retângulo: Cantos Arredondados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44C2F8-526C-3E9F-AA52-F6F13E235011}"/>
            </a:ext>
          </a:extLst>
        </xdr:cNvPr>
        <xdr:cNvSpPr/>
      </xdr:nvSpPr>
      <xdr:spPr>
        <a:xfrm>
          <a:off x="7909560" y="523874"/>
          <a:ext cx="2400300" cy="527685"/>
        </a:xfrm>
        <a:prstGeom prst="roundRect">
          <a:avLst/>
        </a:prstGeom>
        <a:solidFill>
          <a:srgbClr val="1C819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ctr"/>
          <a:r>
            <a:rPr lang="pt-BR" sz="1100" b="1"/>
            <a:t>Visão</a:t>
          </a:r>
          <a:r>
            <a:rPr lang="pt-BR" sz="1100" b="1" baseline="0"/>
            <a:t> de Perfil dos Leads</a:t>
          </a:r>
          <a:endParaRPr lang="pt-BR" sz="1100" b="1"/>
        </a:p>
      </xdr:txBody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121920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F8DF2DA1-7860-4D16-6E30-5AB16D5AB91E}"/>
            </a:ext>
          </a:extLst>
        </xdr:cNvPr>
        <xdr:cNvSpPr>
          <a:spLocks noChangeAspect="1" noChangeArrowheads="1"/>
        </xdr:cNvSpPr>
      </xdr:nvSpPr>
      <xdr:spPr bwMode="auto">
        <a:xfrm>
          <a:off x="36576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70485</xdr:colOff>
      <xdr:row>1</xdr:row>
      <xdr:rowOff>146685</xdr:rowOff>
    </xdr:from>
    <xdr:to>
      <xdr:col>2</xdr:col>
      <xdr:colOff>273917</xdr:colOff>
      <xdr:row>5</xdr:row>
      <xdr:rowOff>123825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57822D8D-2981-398D-319E-B5CEC4A637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661" t="19512" r="23578" b="41870"/>
        <a:stretch/>
      </xdr:blipFill>
      <xdr:spPr>
        <a:xfrm>
          <a:off x="70485" y="327660"/>
          <a:ext cx="1422632" cy="70104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22</xdr:row>
      <xdr:rowOff>170702</xdr:rowOff>
    </xdr:from>
    <xdr:to>
      <xdr:col>20</xdr:col>
      <xdr:colOff>447675</xdr:colOff>
      <xdr:row>38</xdr:row>
      <xdr:rowOff>57149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3EEDF083-1E81-4330-826A-1AABC0F0AA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7</xdr:row>
      <xdr:rowOff>0</xdr:rowOff>
    </xdr:from>
    <xdr:to>
      <xdr:col>20</xdr:col>
      <xdr:colOff>419100</xdr:colOff>
      <xdr:row>22</xdr:row>
      <xdr:rowOff>76200</xdr:rowOff>
    </xdr:to>
    <xdr:graphicFrame macro="">
      <xdr:nvGraphicFramePr>
        <xdr:cNvPr id="17" name="Chart 7">
          <a:extLst>
            <a:ext uri="{FF2B5EF4-FFF2-40B4-BE49-F238E27FC236}">
              <a16:creationId xmlns:a16="http://schemas.microsoft.com/office/drawing/2014/main" id="{9E950E99-1F34-4AC5-BA5C-C73CABB8C1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542925</xdr:colOff>
      <xdr:row>6</xdr:row>
      <xdr:rowOff>174599</xdr:rowOff>
    </xdr:from>
    <xdr:to>
      <xdr:col>29</xdr:col>
      <xdr:colOff>516404</xdr:colOff>
      <xdr:row>38</xdr:row>
      <xdr:rowOff>57150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8" name="Chart 12">
              <a:extLst>
                <a:ext uri="{FF2B5EF4-FFF2-40B4-BE49-F238E27FC236}">
                  <a16:creationId xmlns:a16="http://schemas.microsoft.com/office/drawing/2014/main" id="{60ECA48B-2A05-44A9-A123-C33CA1478C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34925" y="1271879"/>
              <a:ext cx="5459879" cy="57347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0</xdr:col>
      <xdr:colOff>134710</xdr:colOff>
      <xdr:row>38</xdr:row>
      <xdr:rowOff>149942</xdr:rowOff>
    </xdr:from>
    <xdr:to>
      <xdr:col>10</xdr:col>
      <xdr:colOff>409575</xdr:colOff>
      <xdr:row>51</xdr:row>
      <xdr:rowOff>114300</xdr:rowOff>
    </xdr:to>
    <xdr:graphicFrame macro="">
      <xdr:nvGraphicFramePr>
        <xdr:cNvPr id="19" name="Chart 15">
          <a:extLst>
            <a:ext uri="{FF2B5EF4-FFF2-40B4-BE49-F238E27FC236}">
              <a16:creationId xmlns:a16="http://schemas.microsoft.com/office/drawing/2014/main" id="{62179F32-F354-4068-891B-F60D2E8D0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500455</xdr:colOff>
      <xdr:row>38</xdr:row>
      <xdr:rowOff>142875</xdr:rowOff>
    </xdr:from>
    <xdr:to>
      <xdr:col>20</xdr:col>
      <xdr:colOff>438150</xdr:colOff>
      <xdr:row>51</xdr:row>
      <xdr:rowOff>123825</xdr:rowOff>
    </xdr:to>
    <xdr:graphicFrame macro="">
      <xdr:nvGraphicFramePr>
        <xdr:cNvPr id="20" name="Chart 17">
          <a:extLst>
            <a:ext uri="{FF2B5EF4-FFF2-40B4-BE49-F238E27FC236}">
              <a16:creationId xmlns:a16="http://schemas.microsoft.com/office/drawing/2014/main" id="{92A220C4-BB7F-4242-97B1-6054ED028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533400</xdr:colOff>
      <xdr:row>38</xdr:row>
      <xdr:rowOff>140417</xdr:rowOff>
    </xdr:from>
    <xdr:to>
      <xdr:col>29</xdr:col>
      <xdr:colOff>514350</xdr:colOff>
      <xdr:row>51</xdr:row>
      <xdr:rowOff>114299</xdr:rowOff>
    </xdr:to>
    <xdr:graphicFrame macro="">
      <xdr:nvGraphicFramePr>
        <xdr:cNvPr id="21" name="Chart 18">
          <a:extLst>
            <a:ext uri="{FF2B5EF4-FFF2-40B4-BE49-F238E27FC236}">
              <a16:creationId xmlns:a16="http://schemas.microsoft.com/office/drawing/2014/main" id="{23B9107B-C294-4D83-82CD-45DCE0E84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24</xdr:col>
      <xdr:colOff>0</xdr:colOff>
      <xdr:row>8</xdr:row>
      <xdr:rowOff>0</xdr:rowOff>
    </xdr:from>
    <xdr:to>
      <xdr:col>24</xdr:col>
      <xdr:colOff>304800</xdr:colOff>
      <xdr:row>9</xdr:row>
      <xdr:rowOff>121920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584A69DA-E691-FCB4-9993-296B9152FC1A}"/>
            </a:ext>
          </a:extLst>
        </xdr:cNvPr>
        <xdr:cNvSpPr>
          <a:spLocks noChangeAspect="1" noChangeArrowheads="1"/>
        </xdr:cNvSpPr>
      </xdr:nvSpPr>
      <xdr:spPr bwMode="auto">
        <a:xfrm>
          <a:off x="146304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285750</xdr:colOff>
      <xdr:row>4</xdr:row>
      <xdr:rowOff>0</xdr:rowOff>
    </xdr:from>
    <xdr:to>
      <xdr:col>7</xdr:col>
      <xdr:colOff>285750</xdr:colOff>
      <xdr:row>5</xdr:row>
      <xdr:rowOff>95250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C00254DB-2A11-7507-52CD-0146A76FDE2E}"/>
            </a:ext>
          </a:extLst>
        </xdr:cNvPr>
        <xdr:cNvSpPr txBox="1"/>
      </xdr:nvSpPr>
      <xdr:spPr>
        <a:xfrm>
          <a:off x="1504950" y="723900"/>
          <a:ext cx="304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tx1">
                  <a:lumMod val="65000"/>
                  <a:lumOff val="35000"/>
                </a:schemeClr>
              </a:solidFill>
            </a:rPr>
            <a:t>mês ref</a:t>
          </a:r>
          <a:r>
            <a:rPr lang="pt-BR" sz="800" baseline="0">
              <a:solidFill>
                <a:schemeClr val="tx1">
                  <a:lumMod val="65000"/>
                  <a:lumOff val="35000"/>
                </a:schemeClr>
              </a:solidFill>
            </a:rPr>
            <a:t>: ago/2021 </a:t>
          </a:r>
        </a:p>
      </xdr:txBody>
    </xdr:sp>
    <xdr:clientData/>
  </xdr:twoCellAnchor>
  <xdr:twoCellAnchor editAs="oneCell">
    <xdr:from>
      <xdr:col>28</xdr:col>
      <xdr:colOff>447675</xdr:colOff>
      <xdr:row>0</xdr:row>
      <xdr:rowOff>85725</xdr:rowOff>
    </xdr:from>
    <xdr:to>
      <xdr:col>29</xdr:col>
      <xdr:colOff>114300</xdr:colOff>
      <xdr:row>1</xdr:row>
      <xdr:rowOff>178169</xdr:rowOff>
    </xdr:to>
    <xdr:pic macro="[0]!telaCheia">
      <xdr:nvPicPr>
        <xdr:cNvPr id="28" name="Imagem 27" descr="Tela cheia - ícones de setas grátis">
          <a:extLst>
            <a:ext uri="{FF2B5EF4-FFF2-40B4-BE49-F238E27FC236}">
              <a16:creationId xmlns:a16="http://schemas.microsoft.com/office/drawing/2014/main" id="{E6450E13-504A-3EE6-C4D0-95905F4700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6475" y="85725"/>
          <a:ext cx="276225" cy="273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238125</xdr:colOff>
      <xdr:row>0</xdr:row>
      <xdr:rowOff>104775</xdr:rowOff>
    </xdr:from>
    <xdr:to>
      <xdr:col>29</xdr:col>
      <xdr:colOff>505636</xdr:colOff>
      <xdr:row>2</xdr:row>
      <xdr:rowOff>7619</xdr:rowOff>
    </xdr:to>
    <xdr:pic macro="[0]!telaNormal">
      <xdr:nvPicPr>
        <xdr:cNvPr id="29" name="Imagem 28" descr="Minimizar - ícones de ui grátis">
          <a:extLst>
            <a:ext uri="{FF2B5EF4-FFF2-40B4-BE49-F238E27FC236}">
              <a16:creationId xmlns:a16="http://schemas.microsoft.com/office/drawing/2014/main" id="{AD84FDFD-6D29-6CC0-3FC4-649A6F971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6525" y="104775"/>
          <a:ext cx="267511" cy="264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142875</xdr:colOff>
      <xdr:row>2</xdr:row>
      <xdr:rowOff>180974</xdr:rowOff>
    </xdr:from>
    <xdr:to>
      <xdr:col>14</xdr:col>
      <xdr:colOff>19050</xdr:colOff>
      <xdr:row>5</xdr:row>
      <xdr:rowOff>123824</xdr:rowOff>
    </xdr:to>
    <xdr:pic>
      <xdr:nvPicPr>
        <xdr:cNvPr id="31" name="Gráfico 30" descr="Público-alvo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2723D1-89B1-7ACF-00DC-92E6E2C69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067675" y="542924"/>
          <a:ext cx="485775" cy="4857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</xdr:colOff>
      <xdr:row>0</xdr:row>
      <xdr:rowOff>15240</xdr:rowOff>
    </xdr:from>
    <xdr:to>
      <xdr:col>30</xdr:col>
      <xdr:colOff>47624</xdr:colOff>
      <xdr:row>6</xdr:row>
      <xdr:rowOff>123825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CE66475-0E76-40ED-88F7-1EEA5283E4CC}"/>
            </a:ext>
          </a:extLst>
        </xdr:cNvPr>
        <xdr:cNvSpPr/>
      </xdr:nvSpPr>
      <xdr:spPr>
        <a:xfrm>
          <a:off x="22859" y="15240"/>
          <a:ext cx="18312765" cy="1205865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2" algn="l"/>
          <a:r>
            <a:rPr lang="pt-BR" sz="2000" b="1">
              <a:solidFill>
                <a:schemeClr val="tx1">
                  <a:lumMod val="65000"/>
                  <a:lumOff val="35000"/>
                </a:schemeClr>
              </a:solidFill>
            </a:rPr>
            <a:t>          Análise</a:t>
          </a:r>
          <a:r>
            <a:rPr lang="pt-BR" sz="2000" b="1" baseline="0">
              <a:solidFill>
                <a:schemeClr val="tx1">
                  <a:lumMod val="65000"/>
                  <a:lumOff val="35000"/>
                </a:schemeClr>
              </a:solidFill>
            </a:rPr>
            <a:t> de Perfil dos Leads: E-commerce de Veículos</a:t>
          </a:r>
          <a:endParaRPr lang="pt-BR" sz="2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594360</xdr:colOff>
      <xdr:row>2</xdr:row>
      <xdr:rowOff>161924</xdr:rowOff>
    </xdr:from>
    <xdr:to>
      <xdr:col>16</xdr:col>
      <xdr:colOff>556260</xdr:colOff>
      <xdr:row>5</xdr:row>
      <xdr:rowOff>146684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63141D-73ED-43E3-AB49-0285642E779C}"/>
            </a:ext>
          </a:extLst>
        </xdr:cNvPr>
        <xdr:cNvSpPr/>
      </xdr:nvSpPr>
      <xdr:spPr>
        <a:xfrm>
          <a:off x="7909560" y="527684"/>
          <a:ext cx="2400300" cy="533400"/>
        </a:xfrm>
        <a:prstGeom prst="roundRect">
          <a:avLst/>
        </a:prstGeom>
        <a:solidFill>
          <a:srgbClr val="1C819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1100" b="1"/>
            <a:t>Visão</a:t>
          </a:r>
          <a:r>
            <a:rPr lang="pt-BR" sz="1100" b="1" baseline="0"/>
            <a:t> de Vendas</a:t>
          </a:r>
          <a:endParaRPr lang="pt-BR" sz="1100" b="1"/>
        </a:p>
      </xdr:txBody>
    </xdr:sp>
    <xdr:clientData/>
  </xdr:twoCellAnchor>
  <xdr:twoCellAnchor editAs="oneCell">
    <xdr:from>
      <xdr:col>6</xdr:col>
      <xdr:colOff>0</xdr:colOff>
      <xdr:row>10</xdr:row>
      <xdr:rowOff>0</xdr:rowOff>
    </xdr:from>
    <xdr:to>
      <xdr:col>6</xdr:col>
      <xdr:colOff>304800</xdr:colOff>
      <xdr:row>11</xdr:row>
      <xdr:rowOff>121920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C3F04B5-B82E-4611-98B7-712F1EB4630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70485</xdr:colOff>
      <xdr:row>1</xdr:row>
      <xdr:rowOff>146685</xdr:rowOff>
    </xdr:from>
    <xdr:to>
      <xdr:col>2</xdr:col>
      <xdr:colOff>273917</xdr:colOff>
      <xdr:row>5</xdr:row>
      <xdr:rowOff>123825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CF96962-E5C2-4BE6-B272-0AD5AF924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661" t="19512" r="23578" b="41870"/>
        <a:stretch/>
      </xdr:blipFill>
      <xdr:spPr>
        <a:xfrm>
          <a:off x="70485" y="329565"/>
          <a:ext cx="1422632" cy="70866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8</xdr:row>
      <xdr:rowOff>0</xdr:rowOff>
    </xdr:from>
    <xdr:to>
      <xdr:col>24</xdr:col>
      <xdr:colOff>304800</xdr:colOff>
      <xdr:row>9</xdr:row>
      <xdr:rowOff>121920</xdr:rowOff>
    </xdr:to>
    <xdr:sp macro="" textlink="">
      <xdr:nvSpPr>
        <xdr:cNvPr id="12" name="AutoShape 3">
          <a:extLst>
            <a:ext uri="{FF2B5EF4-FFF2-40B4-BE49-F238E27FC236}">
              <a16:creationId xmlns:a16="http://schemas.microsoft.com/office/drawing/2014/main" id="{0612EB80-B767-4C19-9182-C142D4CD2DB1}"/>
            </a:ext>
          </a:extLst>
        </xdr:cNvPr>
        <xdr:cNvSpPr>
          <a:spLocks noChangeAspect="1" noChangeArrowheads="1"/>
        </xdr:cNvSpPr>
      </xdr:nvSpPr>
      <xdr:spPr bwMode="auto">
        <a:xfrm>
          <a:off x="14630400" y="1463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4</xdr:row>
      <xdr:rowOff>0</xdr:rowOff>
    </xdr:from>
    <xdr:to>
      <xdr:col>7</xdr:col>
      <xdr:colOff>295275</xdr:colOff>
      <xdr:row>5</xdr:row>
      <xdr:rowOff>95250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D9D948C-5239-4A90-8FB5-3D160AEE2D93}"/>
            </a:ext>
          </a:extLst>
        </xdr:cNvPr>
        <xdr:cNvSpPr txBox="1"/>
      </xdr:nvSpPr>
      <xdr:spPr>
        <a:xfrm>
          <a:off x="1514475" y="723900"/>
          <a:ext cx="30480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800">
              <a:solidFill>
                <a:schemeClr val="tx1">
                  <a:lumMod val="65000"/>
                  <a:lumOff val="35000"/>
                </a:schemeClr>
              </a:solidFill>
            </a:rPr>
            <a:t>mês ref</a:t>
          </a:r>
          <a:r>
            <a:rPr lang="pt-BR" sz="800" baseline="0">
              <a:solidFill>
                <a:schemeClr val="tx1">
                  <a:lumMod val="65000"/>
                  <a:lumOff val="35000"/>
                </a:schemeClr>
              </a:solidFill>
            </a:rPr>
            <a:t>: ago/2021 </a:t>
          </a:r>
        </a:p>
      </xdr:txBody>
    </xdr:sp>
    <xdr:clientData/>
  </xdr:twoCellAnchor>
  <xdr:twoCellAnchor editAs="oneCell">
    <xdr:from>
      <xdr:col>28</xdr:col>
      <xdr:colOff>447675</xdr:colOff>
      <xdr:row>0</xdr:row>
      <xdr:rowOff>85725</xdr:rowOff>
    </xdr:from>
    <xdr:to>
      <xdr:col>29</xdr:col>
      <xdr:colOff>114300</xdr:colOff>
      <xdr:row>1</xdr:row>
      <xdr:rowOff>178169</xdr:rowOff>
    </xdr:to>
    <xdr:pic macro="[0]!telaCheia">
      <xdr:nvPicPr>
        <xdr:cNvPr id="15" name="Imagem 14" descr="Tela cheia - ícones de setas grátis">
          <a:extLst>
            <a:ext uri="{FF2B5EF4-FFF2-40B4-BE49-F238E27FC236}">
              <a16:creationId xmlns:a16="http://schemas.microsoft.com/office/drawing/2014/main" id="{C9448E47-1577-4E9B-852A-EF972F8B28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6475" y="85725"/>
          <a:ext cx="276225" cy="275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238125</xdr:colOff>
      <xdr:row>0</xdr:row>
      <xdr:rowOff>104775</xdr:rowOff>
    </xdr:from>
    <xdr:to>
      <xdr:col>29</xdr:col>
      <xdr:colOff>505636</xdr:colOff>
      <xdr:row>2</xdr:row>
      <xdr:rowOff>7619</xdr:rowOff>
    </xdr:to>
    <xdr:pic macro="[0]!telaNormal">
      <xdr:nvPicPr>
        <xdr:cNvPr id="16" name="Imagem 15" descr="Minimizar - ícones de ui grátis">
          <a:extLst>
            <a:ext uri="{FF2B5EF4-FFF2-40B4-BE49-F238E27FC236}">
              <a16:creationId xmlns:a16="http://schemas.microsoft.com/office/drawing/2014/main" id="{AB02F933-02BC-43FA-9389-65186AA194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6525" y="104775"/>
          <a:ext cx="267511" cy="2686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161924</xdr:colOff>
      <xdr:row>3</xdr:row>
      <xdr:rowOff>19048</xdr:rowOff>
    </xdr:from>
    <xdr:to>
      <xdr:col>13</xdr:col>
      <xdr:colOff>590549</xdr:colOff>
      <xdr:row>5</xdr:row>
      <xdr:rowOff>85723</xdr:rowOff>
    </xdr:to>
    <xdr:pic>
      <xdr:nvPicPr>
        <xdr:cNvPr id="21" name="Gráfico 20" descr="Gráfico de barras com tendência ascendente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70284-07C2-22E6-12A0-DFDF92D12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86724" y="561973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7</xdr:row>
      <xdr:rowOff>8546</xdr:rowOff>
    </xdr:from>
    <xdr:to>
      <xdr:col>6</xdr:col>
      <xdr:colOff>533400</xdr:colOff>
      <xdr:row>29</xdr:row>
      <xdr:rowOff>9525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078D497F-591F-4CEB-9417-2D071B1169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585000</xdr:colOff>
      <xdr:row>6</xdr:row>
      <xdr:rowOff>177529</xdr:rowOff>
    </xdr:from>
    <xdr:to>
      <xdr:col>13</xdr:col>
      <xdr:colOff>361950</xdr:colOff>
      <xdr:row>29</xdr:row>
      <xdr:rowOff>19050</xdr:rowOff>
    </xdr:to>
    <xdr:graphicFrame macro="">
      <xdr:nvGraphicFramePr>
        <xdr:cNvPr id="23" name="Chart 3">
          <a:extLst>
            <a:ext uri="{FF2B5EF4-FFF2-40B4-BE49-F238E27FC236}">
              <a16:creationId xmlns:a16="http://schemas.microsoft.com/office/drawing/2014/main" id="{2EDCE142-26C3-4FCC-BD52-FCD00D42D1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13</xdr:col>
      <xdr:colOff>412105</xdr:colOff>
      <xdr:row>6</xdr:row>
      <xdr:rowOff>161925</xdr:rowOff>
    </xdr:from>
    <xdr:to>
      <xdr:col>20</xdr:col>
      <xdr:colOff>190500</xdr:colOff>
      <xdr:row>29</xdr:row>
      <xdr:rowOff>28575</xdr:rowOff>
    </xdr:to>
    <xdr:graphicFrame macro="">
      <xdr:nvGraphicFramePr>
        <xdr:cNvPr id="24" name="Chart 4">
          <a:extLst>
            <a:ext uri="{FF2B5EF4-FFF2-40B4-BE49-F238E27FC236}">
              <a16:creationId xmlns:a16="http://schemas.microsoft.com/office/drawing/2014/main" id="{F0FC5631-3577-48CB-B2BA-795BB4B90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237945</xdr:colOff>
      <xdr:row>7</xdr:row>
      <xdr:rowOff>0</xdr:rowOff>
    </xdr:from>
    <xdr:to>
      <xdr:col>29</xdr:col>
      <xdr:colOff>554362</xdr:colOff>
      <xdr:row>51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5" name="Chart 8">
              <a:extLst>
                <a:ext uri="{FF2B5EF4-FFF2-40B4-BE49-F238E27FC236}">
                  <a16:creationId xmlns:a16="http://schemas.microsoft.com/office/drawing/2014/main" id="{CF4B33AE-6EF1-4DEE-9C35-5E8E1CEAED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29945" y="1280160"/>
              <a:ext cx="5802817" cy="80657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152399</xdr:colOff>
      <xdr:row>29</xdr:row>
      <xdr:rowOff>57150</xdr:rowOff>
    </xdr:from>
    <xdr:to>
      <xdr:col>6</xdr:col>
      <xdr:colOff>523874</xdr:colOff>
      <xdr:row>51</xdr:row>
      <xdr:rowOff>19050</xdr:rowOff>
    </xdr:to>
    <xdr:graphicFrame macro="">
      <xdr:nvGraphicFramePr>
        <xdr:cNvPr id="26" name="Chart 5">
          <a:extLst>
            <a:ext uri="{FF2B5EF4-FFF2-40B4-BE49-F238E27FC236}">
              <a16:creationId xmlns:a16="http://schemas.microsoft.com/office/drawing/2014/main" id="{663D7198-79DC-49A6-BF75-6CA9D72E3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</xdr:col>
      <xdr:colOff>578222</xdr:colOff>
      <xdr:row>29</xdr:row>
      <xdr:rowOff>66675</xdr:rowOff>
    </xdr:from>
    <xdr:to>
      <xdr:col>13</xdr:col>
      <xdr:colOff>361949</xdr:colOff>
      <xdr:row>51</xdr:row>
      <xdr:rowOff>28575</xdr:rowOff>
    </xdr:to>
    <xdr:graphicFrame macro="">
      <xdr:nvGraphicFramePr>
        <xdr:cNvPr id="27" name="Chart 6">
          <a:extLst>
            <a:ext uri="{FF2B5EF4-FFF2-40B4-BE49-F238E27FC236}">
              <a16:creationId xmlns:a16="http://schemas.microsoft.com/office/drawing/2014/main" id="{7D41A2F1-6B7F-49E9-814A-CB987FF93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13</xdr:col>
      <xdr:colOff>386715</xdr:colOff>
      <xdr:row>29</xdr:row>
      <xdr:rowOff>57150</xdr:rowOff>
    </xdr:from>
    <xdr:to>
      <xdr:col>20</xdr:col>
      <xdr:colOff>180975</xdr:colOff>
      <xdr:row>50</xdr:row>
      <xdr:rowOff>152400</xdr:rowOff>
    </xdr:to>
    <xdr:graphicFrame macro="">
      <xdr:nvGraphicFramePr>
        <xdr:cNvPr id="28" name="Chart 7">
          <a:extLst>
            <a:ext uri="{FF2B5EF4-FFF2-40B4-BE49-F238E27FC236}">
              <a16:creationId xmlns:a16="http://schemas.microsoft.com/office/drawing/2014/main" id="{7E38FDC1-67F7-466F-8F5A-2B637CABF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592119</xdr:colOff>
      <xdr:row>16</xdr:row>
      <xdr:rowOff>34736</xdr:rowOff>
    </xdr:from>
    <xdr:to>
      <xdr:col>9</xdr:col>
      <xdr:colOff>762000</xdr:colOff>
      <xdr:row>32</xdr:row>
      <xdr:rowOff>179293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B9C185-4E74-1618-7161-ED41E94DA0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778809</xdr:colOff>
      <xdr:row>51</xdr:row>
      <xdr:rowOff>142652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58B82C-C633-4505-ADA3-385C07B9E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556372</xdr:colOff>
      <xdr:row>53</xdr:row>
      <xdr:rowOff>173017</xdr:rowOff>
    </xdr:from>
    <xdr:to>
      <xdr:col>6</xdr:col>
      <xdr:colOff>263338</xdr:colOff>
      <xdr:row>69</xdr:row>
      <xdr:rowOff>36081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301C70-3E71-9D7E-2F45-5B7691A1E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493059</xdr:colOff>
      <xdr:row>70</xdr:row>
      <xdr:rowOff>93457</xdr:rowOff>
    </xdr:from>
    <xdr:to>
      <xdr:col>7</xdr:col>
      <xdr:colOff>235323</xdr:colOff>
      <xdr:row>85</xdr:row>
      <xdr:rowOff>133910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5622C7F-EE38-4975-BE7F-D713765B5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212912</xdr:colOff>
      <xdr:row>15</xdr:row>
      <xdr:rowOff>159907</xdr:rowOff>
    </xdr:from>
    <xdr:to>
      <xdr:col>15</xdr:col>
      <xdr:colOff>1467971</xdr:colOff>
      <xdr:row>31</xdr:row>
      <xdr:rowOff>28686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EB3E2CF-698A-D174-2B37-91DC36A47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280146</xdr:colOff>
      <xdr:row>35</xdr:row>
      <xdr:rowOff>98162</xdr:rowOff>
    </xdr:from>
    <xdr:to>
      <xdr:col>15</xdr:col>
      <xdr:colOff>1611852</xdr:colOff>
      <xdr:row>66</xdr:row>
      <xdr:rowOff>168088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Gráfico 8">
              <a:extLst>
                <a:ext uri="{FF2B5EF4-FFF2-40B4-BE49-F238E27FC236}">
                  <a16:creationId xmlns:a16="http://schemas.microsoft.com/office/drawing/2014/main" id="{BCC50A47-6C52-8716-6EC8-F103379648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90746" y="6498962"/>
              <a:ext cx="4661646" cy="57392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38101</xdr:colOff>
      <xdr:row>1</xdr:row>
      <xdr:rowOff>95250</xdr:rowOff>
    </xdr:from>
    <xdr:to>
      <xdr:col>10</xdr:col>
      <xdr:colOff>486047</xdr:colOff>
      <xdr:row>19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3566713-021E-4182-AB15-D2123FC89B6C}"/>
            </a:ext>
          </a:extLst>
        </xdr:cNvPr>
        <xdr:cNvSpPr txBox="1"/>
      </xdr:nvSpPr>
      <xdr:spPr>
        <a:xfrm>
          <a:off x="650422" y="272143"/>
          <a:ext cx="5958839" cy="318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1) Receita, leads, conversão e ticket médio mês a mês</a:t>
          </a:r>
        </a:p>
        <a:p>
          <a:r>
            <a:rPr lang="en-US" sz="1100" b="1"/>
            <a:t>-- Colunas: mês, leads (#), vendas (#), receita (k, R$), conversão (%), ticket médio (k, R$)</a:t>
          </a:r>
        </a:p>
        <a:p>
          <a:r>
            <a:rPr lang="en-US" sz="1100" b="0"/>
            <a:t>with 	leads as (		select			date_trunc('month', visit_page_date)::date as visit_page_month,			count(*) as visit_page_count		from sales.funnel		group by visit_page_month		order by 			visit_page_month),	payments as (		select			date_trunc('month', paid_date)::date as paid_month,			count(fun.paid_date) as paid_count,			sum(prod.price * (1+fun.discount)) as receita		from sales.funnel as fun		left join sales.products as prod				on fun.product_id = prod.product_id		where			fun.paid_date is not null		group by 			paid_month		order by 			paid_month	)select	leads.visit_page_month as "mês",	leads.visit_page_count as "leads (#)",	payments.paid_count as "vendas (#)",	(payments.receita/1000) * 100 as "receita (k, R$)",	(payments.paid_count::float/leads.visit_page_count::float) * 100 as "conversão (%)",	(payments.receita/payments.paid_count/1000) as "ticket médio (k, R$)"from leadsleft join payments	on leads.visit_page_month = paid_month</a:t>
          </a:r>
        </a:p>
      </xdr:txBody>
    </xdr:sp>
    <xdr:clientData/>
  </xdr:twoCellAnchor>
  <xdr:twoCellAnchor>
    <xdr:from>
      <xdr:col>11</xdr:col>
      <xdr:colOff>57150</xdr:colOff>
      <xdr:row>1</xdr:row>
      <xdr:rowOff>123825</xdr:rowOff>
    </xdr:from>
    <xdr:to>
      <xdr:col>17</xdr:col>
      <xdr:colOff>285751</xdr:colOff>
      <xdr:row>19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553070A-26F3-425E-B1E3-F88CBB32060B}"/>
            </a:ext>
          </a:extLst>
        </xdr:cNvPr>
        <xdr:cNvSpPr txBox="1"/>
      </xdr:nvSpPr>
      <xdr:spPr>
        <a:xfrm>
          <a:off x="6792686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2) Estados que mais venderam</a:t>
          </a:r>
        </a:p>
        <a:p>
          <a:r>
            <a:rPr lang="en-US" sz="1100" b="1"/>
            <a:t>-- Colunas: país, estado, vendas (#)</a:t>
          </a:r>
        </a:p>
        <a:p>
          <a:r>
            <a:rPr lang="en-US" sz="1100" b="0"/>
            <a:t>select	'Brasil' as país,	cus.state as estado,	count(fun.paid_date) as "vendas (#)"from sales.funnel as fun	left join sales.customers as cus	on fun.customer_id = cus.customer_idwhere	paid_date between '2021-08-01' and '2021-08-31' -- último mês da base de dadosgroup by	país, 	estadoorder by	"vendas (#)" desclimit 5</a:t>
          </a:r>
        </a:p>
      </xdr:txBody>
    </xdr:sp>
    <xdr:clientData/>
  </xdr:twoCellAnchor>
  <xdr:twoCellAnchor>
    <xdr:from>
      <xdr:col>17</xdr:col>
      <xdr:colOff>478972</xdr:colOff>
      <xdr:row>1</xdr:row>
      <xdr:rowOff>123825</xdr:rowOff>
    </xdr:from>
    <xdr:to>
      <xdr:col>24</xdr:col>
      <xdr:colOff>95251</xdr:colOff>
      <xdr:row>19</xdr:row>
      <xdr:rowOff>114300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1A4D350-E21D-4F46-82A0-236CC41D5F54}"/>
            </a:ext>
          </a:extLst>
        </xdr:cNvPr>
        <xdr:cNvSpPr txBox="1"/>
      </xdr:nvSpPr>
      <xdr:spPr>
        <a:xfrm>
          <a:off x="10888436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3) Marcas que mais venderam no mês</a:t>
          </a:r>
        </a:p>
        <a:p>
          <a:r>
            <a:rPr lang="en-US" sz="1100" b="1"/>
            <a:t>-- Colunas: marca, vendas (#)</a:t>
          </a:r>
        </a:p>
        <a:p>
          <a:r>
            <a:rPr lang="en-US" sz="1100" b="0"/>
            <a:t>select	prod.brand as marca,	count(fun.paid_date) as "vendas (#)"from sales.funnel as fun	left join sales.products as prod	on fun.product_id = prod.product_idwhere	paid_date between '2021-08-01' and '2021-08-31'group by 	marcaorder by	"vendas (#)" desclimit 5</a:t>
          </a:r>
        </a:p>
      </xdr:txBody>
    </xdr:sp>
    <xdr:clientData/>
  </xdr:twoCellAnchor>
  <xdr:twoCellAnchor>
    <xdr:from>
      <xdr:col>24</xdr:col>
      <xdr:colOff>274865</xdr:colOff>
      <xdr:row>1</xdr:row>
      <xdr:rowOff>123825</xdr:rowOff>
    </xdr:from>
    <xdr:to>
      <xdr:col>30</xdr:col>
      <xdr:colOff>503465</xdr:colOff>
      <xdr:row>19</xdr:row>
      <xdr:rowOff>114300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B0CCFB6-0FFE-4D07-A857-E2431D34FBCC}"/>
            </a:ext>
          </a:extLst>
        </xdr:cNvPr>
        <xdr:cNvSpPr txBox="1"/>
      </xdr:nvSpPr>
      <xdr:spPr>
        <a:xfrm>
          <a:off x="14970579" y="314325"/>
          <a:ext cx="3902529" cy="3419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-- (Query 4) Lojas que mais venderam</a:t>
          </a:r>
        </a:p>
        <a:p>
          <a:r>
            <a:rPr lang="en-US" sz="1100" b="1"/>
            <a:t>-- Colunas: loja, vendas (#)</a:t>
          </a:r>
        </a:p>
        <a:p>
          <a:r>
            <a:rPr lang="en-US" sz="1100" b="0"/>
            <a:t>select	sto.store_name as loja,	count(fun.paid_date) as "vendas (#)"from sales.funnel as fun	left join sales.stores as sto	on fun.store_id = sto.store_idwhere 	paid_date between '2021-08-01' and '2021-08-31'group by 	lojaorder by 	"vendas (#)" desclimit 5</a:t>
          </a:r>
        </a:p>
      </xdr:txBody>
    </xdr:sp>
    <xdr:clientData/>
  </xdr:twoCellAnchor>
  <xdr:twoCellAnchor>
    <xdr:from>
      <xdr:col>31</xdr:col>
      <xdr:colOff>86270</xdr:colOff>
      <xdr:row>1</xdr:row>
      <xdr:rowOff>125730</xdr:rowOff>
    </xdr:from>
    <xdr:to>
      <xdr:col>37</xdr:col>
      <xdr:colOff>314870</xdr:colOff>
      <xdr:row>19</xdr:row>
      <xdr:rowOff>114300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E97282A-12D0-45EB-92E3-3A39CF6A421C}"/>
            </a:ext>
          </a:extLst>
        </xdr:cNvPr>
        <xdr:cNvSpPr txBox="1"/>
      </xdr:nvSpPr>
      <xdr:spPr>
        <a:xfrm>
          <a:off x="19068234" y="302623"/>
          <a:ext cx="3902529" cy="3172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5) Dias da semana com maior número de visitas ao site</a:t>
          </a:r>
        </a:p>
        <a:p>
          <a:r>
            <a:rPr lang="pt-B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dia_semana, dia da semana, visitas (#)</a:t>
          </a:r>
        </a:p>
        <a:p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	extract('dow' from visit_page_date) as dia_semana,	case 		when extract('dow' from visit_page_date)= 0 then 'domingo'		when extract('dow' from visit_page_date)= 1 then 'segunda'		when extract('dow' from visit_page_date)= 2 then 'terça'		when extract('dow' from visit_page_date)= 3 then 'quarta'		when extract('dow' from visit_page_date)= 4 then 'quinta'		when extract('dow' from visit_page_date)= 5 then 'sexta'		when extract('dow' from visit_page_date)= 6 then 'sábado'		else null end as "dia da semana",	count(*) as "visitas (#)"from sales.funnelwhere visit_page_date between '2021-08-01' and '2021-08-31'group by dia_semanaorder by dia_semana</a:t>
          </a: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7</xdr:col>
      <xdr:colOff>245746</xdr:colOff>
      <xdr:row>39</xdr:row>
      <xdr:rowOff>26669</xdr:rowOff>
    </xdr:to>
    <xdr:sp macro="" textlink="">
      <xdr:nvSpPr>
        <xdr:cNvPr id="7" name="TextBox 2">
          <a:extLst>
            <a:ext uri="{FF2B5EF4-FFF2-40B4-BE49-F238E27FC236}">
              <a16:creationId xmlns:a16="http://schemas.microsoft.com/office/drawing/2014/main" id="{ED71E211-39AC-4F0E-B924-29832E505A36}"/>
            </a:ext>
          </a:extLst>
        </xdr:cNvPr>
        <xdr:cNvSpPr txBox="1"/>
      </xdr:nvSpPr>
      <xdr:spPr>
        <a:xfrm>
          <a:off x="609600" y="4071257"/>
          <a:ext cx="3903346" cy="3172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1) Gênero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gênero, leads(#)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	case		when ibge.gender = 'male' then 'homens'		when ibge.gender = 'female' then 'mulheres'		end as "gênero",		count(*) as "leads (#)"from sales.customers as cusleft join temp_tables.ibge_genders as ibge	on lower(cus.first_name) = lower(ibge.first_name)group by 	ibge.gender</a:t>
          </a:r>
        </a:p>
      </xdr:txBody>
    </xdr:sp>
    <xdr:clientData/>
  </xdr:twoCellAnchor>
  <xdr:twoCellAnchor>
    <xdr:from>
      <xdr:col>7</xdr:col>
      <xdr:colOff>497989</xdr:colOff>
      <xdr:row>22</xdr:row>
      <xdr:rowOff>0</xdr:rowOff>
    </xdr:from>
    <xdr:to>
      <xdr:col>14</xdr:col>
      <xdr:colOff>124611</xdr:colOff>
      <xdr:row>39</xdr:row>
      <xdr:rowOff>26669</xdr:rowOff>
    </xdr:to>
    <xdr:sp macro="" textlink="">
      <xdr:nvSpPr>
        <xdr:cNvPr id="8" name="TextBox 6">
          <a:extLst>
            <a:ext uri="{FF2B5EF4-FFF2-40B4-BE49-F238E27FC236}">
              <a16:creationId xmlns:a16="http://schemas.microsoft.com/office/drawing/2014/main" id="{07B7CDAE-0F93-4899-9D5C-C2AFC56917C0}"/>
            </a:ext>
          </a:extLst>
        </xdr:cNvPr>
        <xdr:cNvSpPr txBox="1"/>
      </xdr:nvSpPr>
      <xdr:spPr>
        <a:xfrm>
          <a:off x="4765189" y="4071257"/>
          <a:ext cx="3893822" cy="3172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2) Status profissional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status profissional, leads (%)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	case		when professional_status = 'freelancer' then 'freelancer'		when professional_status = 'retired' then 'aposentado(a)'		when professional_status = 'clt' then 'clt'		when professional_status = 'self_employed' then 'autônomo(a)'		when professional_status = 'other' then 'outro'		when professional_status = 'businessman' then 'empresário(a)'		when professional_status = 'civil_servant' then 'funcionário(a) público(a)'		when professional_status = 'student' then 'estudante'		end as "status profissional",	(count(*)::float)/(select count(*) from sales.customers) as "leads (%)"from sales.customers group by 	professional_statusorder by	"leads (%)"</a:t>
          </a:r>
        </a:p>
      </xdr:txBody>
    </xdr:sp>
    <xdr:clientData/>
  </xdr:twoCellAnchor>
  <xdr:twoCellAnchor>
    <xdr:from>
      <xdr:col>14</xdr:col>
      <xdr:colOff>345141</xdr:colOff>
      <xdr:row>22</xdr:row>
      <xdr:rowOff>0</xdr:rowOff>
    </xdr:from>
    <xdr:to>
      <xdr:col>20</xdr:col>
      <xdr:colOff>583684</xdr:colOff>
      <xdr:row>39</xdr:row>
      <xdr:rowOff>26669</xdr:rowOff>
    </xdr:to>
    <xdr:sp macro="" textlink="">
      <xdr:nvSpPr>
        <xdr:cNvPr id="9" name="TextBox 7">
          <a:extLst>
            <a:ext uri="{FF2B5EF4-FFF2-40B4-BE49-F238E27FC236}">
              <a16:creationId xmlns:a16="http://schemas.microsoft.com/office/drawing/2014/main" id="{81FE55D6-C400-4C34-92D6-6D536A93D70B}"/>
            </a:ext>
          </a:extLst>
        </xdr:cNvPr>
        <xdr:cNvSpPr txBox="1"/>
      </xdr:nvSpPr>
      <xdr:spPr>
        <a:xfrm>
          <a:off x="8879541" y="4071257"/>
          <a:ext cx="3896143" cy="3172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3) Faixa etária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faixa etária, leads (%)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	case		when datediff('years', birth_date, current_date) &lt; 20 then '0-20'		when datediff('years', birth_date, current_date) &lt; 40 then '20-40'		when datediff('years', birth_date, current_date) &lt; 60 then '40-60'		when datediff('years', birth_date, current_date) &lt; 80 then '60-80'		else '80+' end as "faixa etária",	count(*)::float/(select count(*) from sales.customers) as "leads (%)"from sales.customersgroup by 	"faixa etária"order by	"leads (%)" desc</a:t>
          </a:r>
        </a:p>
      </xdr:txBody>
    </xdr:sp>
    <xdr:clientData/>
  </xdr:twoCellAnchor>
  <xdr:twoCellAnchor>
    <xdr:from>
      <xdr:col>21</xdr:col>
      <xdr:colOff>128867</xdr:colOff>
      <xdr:row>22</xdr:row>
      <xdr:rowOff>0</xdr:rowOff>
    </xdr:from>
    <xdr:to>
      <xdr:col>27</xdr:col>
      <xdr:colOff>365506</xdr:colOff>
      <xdr:row>39</xdr:row>
      <xdr:rowOff>26669</xdr:rowOff>
    </xdr:to>
    <xdr:sp macro="" textlink="">
      <xdr:nvSpPr>
        <xdr:cNvPr id="10" name="TextBox 8">
          <a:extLst>
            <a:ext uri="{FF2B5EF4-FFF2-40B4-BE49-F238E27FC236}">
              <a16:creationId xmlns:a16="http://schemas.microsoft.com/office/drawing/2014/main" id="{C6B18750-453A-47D1-98EA-3254B0B89D90}"/>
            </a:ext>
          </a:extLst>
        </xdr:cNvPr>
        <xdr:cNvSpPr txBox="1"/>
      </xdr:nvSpPr>
      <xdr:spPr>
        <a:xfrm>
          <a:off x="12930467" y="4071257"/>
          <a:ext cx="3894239" cy="31726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4) Faixa salarial dos leads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faixa salarial, leads (%), ordem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	case		when income &lt; 5000 then '0-5.000'		when income &lt; 10000 then '5.000-10.000'		when income &lt; 15000 then '10.000-15.000'		when income &lt; 20000 then '15.000-20.000'		else '20.000+' end as "faixa salarial",	count(*)::float/(select count(*) from sales.customers) as "leads (%)",	case		when income &lt; 5000 then 1		when income &lt; 10000 then 2		when income &lt; 15000 then 3		when income &lt; 20000 then 4		else 5 end as "ordem"from sales.customersgroup by 	"faixa salarial",	"ordem"order by	"ordem" desc</a:t>
          </a:r>
        </a:p>
      </xdr:txBody>
    </xdr:sp>
    <xdr:clientData/>
  </xdr:twoCellAnchor>
  <xdr:twoCellAnchor>
    <xdr:from>
      <xdr:col>1</xdr:col>
      <xdr:colOff>33618</xdr:colOff>
      <xdr:row>40</xdr:row>
      <xdr:rowOff>12518</xdr:rowOff>
    </xdr:from>
    <xdr:to>
      <xdr:col>7</xdr:col>
      <xdr:colOff>268352</xdr:colOff>
      <xdr:row>57</xdr:row>
      <xdr:rowOff>39189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3B6C0370-0AA5-4B01-88C8-523C32D73405}"/>
            </a:ext>
          </a:extLst>
        </xdr:cNvPr>
        <xdr:cNvSpPr txBox="1"/>
      </xdr:nvSpPr>
      <xdr:spPr>
        <a:xfrm>
          <a:off x="643218" y="7414804"/>
          <a:ext cx="3892334" cy="31726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5) Classificação dos veículos visitados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classificação do veículo, veículos visitados (#)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Regra de negócio: Veículos novos tem até 2 anos e seminovos acima de 2 anos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classificacao_veiculos as (	select		fun.visit_page_date,		prod.model_year,		extract('year' from visit_page_date) - prod.model_year::int as idade_veiculo,		case 			when (extract('year' from visit_page_date) - prod.model_year::int) &lt;= 2 then 'novo'			else 'seminovo'			end as "classificação do veículo"	from sales.funnel as fun		left join sales.products as prod		on fun.product_id = prod.product_id)select	"classificação do veículo",	count(*) as "veículos visitados (#)"from classificacao_veiculosgroup by	"classificação do veículo"order by	"classificação do veículo"</a:t>
          </a:r>
        </a:p>
      </xdr:txBody>
    </xdr:sp>
    <xdr:clientData/>
  </xdr:twoCellAnchor>
  <xdr:twoCellAnchor>
    <xdr:from>
      <xdr:col>7</xdr:col>
      <xdr:colOff>504697</xdr:colOff>
      <xdr:row>40</xdr:row>
      <xdr:rowOff>12518</xdr:rowOff>
    </xdr:from>
    <xdr:to>
      <xdr:col>14</xdr:col>
      <xdr:colOff>122211</xdr:colOff>
      <xdr:row>57</xdr:row>
      <xdr:rowOff>39189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2006B957-83BE-4CAD-A3F3-A43179C65E78}"/>
            </a:ext>
          </a:extLst>
        </xdr:cNvPr>
        <xdr:cNvSpPr txBox="1"/>
      </xdr:nvSpPr>
      <xdr:spPr>
        <a:xfrm>
          <a:off x="4771897" y="7414804"/>
          <a:ext cx="3884714" cy="31726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6) Idade dos veículos visitados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Idade do veículo, veículos visitados (%), ordem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	faixa_de_idade_dos_veiculos as (			select			fun.visit_page_date,			prod.model_year,			extract('year' from visit_page_date) - prod.model_year::int as idade_veiculo,			case 				when (extract('year' from visit_page_date) - prod.model_year::int) &lt;= 2 then 'até 2 anos'				when (extract('year' from visit_page_date) - prod.model_year::int) &lt;= 4 then 'de 2 à 4 anos'				when (extract('year' from visit_page_date) - prod.model_year::int) &lt;= 6 then 'de 4 à 6 anos'				when (extract('year' from visit_page_date) - prod.model_year::int) &lt;= 8 then 'de 6 à 8 anos'				when (extract('year' from visit_page_date) - prod.model_year::int) &lt;= 10 then 'de 8 à 10 anos'				else 'acima de 10 anos'				end as "idade do veículo",			case				when (extract('year' from visit_page_date) - prod.model_year::int) &lt;= 2 then '1'				when (extract('year' from visit_page_date) - prod.model_year::int) &lt;= 4 then '2'				when (extract('year' from visit_page_date) - prod.model_year::int) &lt;= 6 then '3'				when (extract('year' from visit_page_date) - prod.model_year::int) &lt;= 8 then '4'				when (extract('year' from visit_page_date) - prod.model_year::int) &lt;= 10 then '5'				else 6				end as "ordem"						from sales.funnel as fun			left join sales.products as prod			on fun.product_id = prod.product_id)select	"idade do veículo",	count(*)::float/(select count(*) from sales.funnel) as "veículos visitados (%)"from faixa_de_idade_dos_veiculosgroup by	"idade do veículo", ordemorder by	ordem</a:t>
          </a:r>
        </a:p>
      </xdr:txBody>
    </xdr:sp>
    <xdr:clientData/>
  </xdr:twoCellAnchor>
  <xdr:twoCellAnchor>
    <xdr:from>
      <xdr:col>14</xdr:col>
      <xdr:colOff>374068</xdr:colOff>
      <xdr:row>40</xdr:row>
      <xdr:rowOff>12518</xdr:rowOff>
    </xdr:from>
    <xdr:to>
      <xdr:col>20</xdr:col>
      <xdr:colOff>603087</xdr:colOff>
      <xdr:row>57</xdr:row>
      <xdr:rowOff>39189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29760480-A943-4F49-ABC9-ADC2D260B0C0}"/>
            </a:ext>
          </a:extLst>
        </xdr:cNvPr>
        <xdr:cNvSpPr txBox="1"/>
      </xdr:nvSpPr>
      <xdr:spPr>
        <a:xfrm>
          <a:off x="8908468" y="7414804"/>
          <a:ext cx="3886619" cy="31726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(Query 7) Veículos mais visitados por marca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 Colunas: brand, model, visitas (#)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	prod.brand,	prod.model,	count(*) as "visitas (#)"from sales.funnel as fun	left join sales.products as prod	on fun.product_id = prod.product_idgroup by	prod.brand,	prod.modelorder by	prod.brand,	prod.model,	"visitas (#)"</a:t>
          </a: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\projects\sql_midori\Exerc&#237;cios\10-Projeto2-Perfil%20dos%20leads\Projeto+2+-+Perfil+dos+leads.xlsx" TargetMode="External"/><Relationship Id="rId1" Type="http://schemas.openxmlformats.org/officeDocument/2006/relationships/externalLinkPath" Target="/Users/carol/projects/sql_midori/Exerc&#237;cios/10-Projeto2-Perfil%20dos%20leads/Projeto+2+-+Perfil+dos+lea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Output"/>
      <sheetName val="Queries"/>
    </sheetNames>
    <sheetDataSet>
      <sheetData sheetId="0"/>
      <sheetData sheetId="1">
        <row r="3">
          <cell r="C3" t="str">
            <v>leads (#)</v>
          </cell>
          <cell r="F3" t="str">
            <v>leads (%)</v>
          </cell>
          <cell r="I3" t="str">
            <v>leads (%)</v>
          </cell>
          <cell r="L3" t="str">
            <v>leads (%)</v>
          </cell>
          <cell r="P3" t="str">
            <v>veículos visitados (#)</v>
          </cell>
          <cell r="S3" t="str">
            <v>veículos visitados (%)</v>
          </cell>
          <cell r="X3" t="str">
            <v>visitas (#)</v>
          </cell>
        </row>
        <row r="4">
          <cell r="B4" t="str">
            <v>mulheres</v>
          </cell>
          <cell r="C4">
            <v>15106</v>
          </cell>
          <cell r="E4" t="str">
            <v>estudante</v>
          </cell>
          <cell r="F4">
            <v>3.9826357083117599E-5</v>
          </cell>
          <cell r="H4" t="str">
            <v>20-40</v>
          </cell>
          <cell r="I4">
            <v>0.42709785335935302</v>
          </cell>
          <cell r="K4" t="str">
            <v>20.000+</v>
          </cell>
          <cell r="L4">
            <v>1.6010195547413199E-2</v>
          </cell>
          <cell r="O4" t="str">
            <v>novo</v>
          </cell>
          <cell r="P4">
            <v>1162</v>
          </cell>
          <cell r="R4" t="str">
            <v>até 2 anos</v>
          </cell>
          <cell r="S4">
            <v>3.7998691955526402E-2</v>
          </cell>
          <cell r="V4" t="str">
            <v>AUDI</v>
          </cell>
          <cell r="W4" t="str">
            <v>A1</v>
          </cell>
          <cell r="X4">
            <v>18</v>
          </cell>
        </row>
        <row r="5">
          <cell r="B5" t="str">
            <v>homens</v>
          </cell>
          <cell r="C5">
            <v>10003</v>
          </cell>
          <cell r="E5" t="str">
            <v>funcionário(a) público(a)</v>
          </cell>
          <cell r="F5">
            <v>1.7085507188657399E-2</v>
          </cell>
          <cell r="H5" t="str">
            <v>40-60</v>
          </cell>
          <cell r="I5">
            <v>0.333346608785694</v>
          </cell>
          <cell r="K5" t="str">
            <v>15.000-20.000</v>
          </cell>
          <cell r="L5">
            <v>1.7722728901987301E-2</v>
          </cell>
          <cell r="O5" t="str">
            <v>seminovo</v>
          </cell>
          <cell r="P5">
            <v>29418</v>
          </cell>
          <cell r="R5" t="str">
            <v>de 2 à 4 anos</v>
          </cell>
          <cell r="S5">
            <v>0.10775016350555899</v>
          </cell>
          <cell r="V5" t="str">
            <v>AUDI</v>
          </cell>
          <cell r="W5" t="str">
            <v>A3</v>
          </cell>
          <cell r="X5">
            <v>32</v>
          </cell>
        </row>
        <row r="6">
          <cell r="E6" t="str">
            <v>aposentado(a)</v>
          </cell>
          <cell r="F6">
            <v>4.2614202078935799E-2</v>
          </cell>
          <cell r="H6" t="str">
            <v>60-80</v>
          </cell>
          <cell r="I6">
            <v>0.20546417619180299</v>
          </cell>
          <cell r="K6" t="str">
            <v>10.000-15.000</v>
          </cell>
          <cell r="L6">
            <v>9.5384125214066598E-2</v>
          </cell>
          <cell r="R6" t="str">
            <v>de 4 à 6 anos</v>
          </cell>
          <cell r="S6">
            <v>0.18103335513407401</v>
          </cell>
          <cell r="V6" t="str">
            <v>AUDI</v>
          </cell>
          <cell r="W6" t="str">
            <v>A4</v>
          </cell>
          <cell r="X6">
            <v>19</v>
          </cell>
        </row>
        <row r="7">
          <cell r="E7" t="str">
            <v>freelancer</v>
          </cell>
          <cell r="F7">
            <v>5.2889402206380103E-2</v>
          </cell>
          <cell r="H7" t="str">
            <v>80+</v>
          </cell>
          <cell r="I7">
            <v>3.4091361663148599E-2</v>
          </cell>
          <cell r="K7" t="str">
            <v>5.000-10.000</v>
          </cell>
          <cell r="L7">
            <v>0.71026325222031905</v>
          </cell>
          <cell r="R7" t="str">
            <v>de 6 à 8 anos</v>
          </cell>
          <cell r="S7">
            <v>0.19630477436232799</v>
          </cell>
          <cell r="V7" t="str">
            <v>AUDI</v>
          </cell>
          <cell r="W7" t="str">
            <v>A5</v>
          </cell>
          <cell r="X7">
            <v>7</v>
          </cell>
        </row>
        <row r="8">
          <cell r="E8" t="str">
            <v>autônomo(a)</v>
          </cell>
          <cell r="F8">
            <v>7.2045879963359705E-2</v>
          </cell>
          <cell r="H8" t="str">
            <v>0-20</v>
          </cell>
          <cell r="I8">
            <v>0</v>
          </cell>
          <cell r="K8" t="str">
            <v>0-5.000</v>
          </cell>
          <cell r="L8">
            <v>0.16061969811621299</v>
          </cell>
          <cell r="R8" t="str">
            <v>de 8 à 10 anos</v>
          </cell>
          <cell r="S8">
            <v>0.24767822105951601</v>
          </cell>
          <cell r="V8" t="str">
            <v>AUDI</v>
          </cell>
          <cell r="W8" t="str">
            <v>A6</v>
          </cell>
          <cell r="X8">
            <v>1</v>
          </cell>
        </row>
        <row r="9">
          <cell r="E9" t="str">
            <v>empresário(a)</v>
          </cell>
          <cell r="F9">
            <v>7.5431120315424705E-2</v>
          </cell>
          <cell r="R9" t="str">
            <v>acima de 10 anos</v>
          </cell>
          <cell r="S9">
            <v>0.22923479398299501</v>
          </cell>
          <cell r="V9" t="str">
            <v>AUDI</v>
          </cell>
          <cell r="W9" t="str">
            <v>A7</v>
          </cell>
          <cell r="X9">
            <v>1</v>
          </cell>
        </row>
        <row r="10">
          <cell r="E10" t="str">
            <v>outro</v>
          </cell>
          <cell r="F10">
            <v>9.0445656935759997E-2</v>
          </cell>
          <cell r="V10" t="str">
            <v>AUDI</v>
          </cell>
          <cell r="W10" t="str">
            <v>Q3</v>
          </cell>
          <cell r="X10">
            <v>30</v>
          </cell>
        </row>
        <row r="11">
          <cell r="E11" t="str">
            <v>clt</v>
          </cell>
          <cell r="F11">
            <v>0.64944840495439804</v>
          </cell>
          <cell r="V11" t="str">
            <v>AUDI</v>
          </cell>
          <cell r="W11" t="str">
            <v>Q5</v>
          </cell>
          <cell r="X11">
            <v>6</v>
          </cell>
        </row>
        <row r="12">
          <cell r="V12" t="str">
            <v>AUDI</v>
          </cell>
          <cell r="W12" t="str">
            <v>Q7</v>
          </cell>
          <cell r="X12">
            <v>4</v>
          </cell>
        </row>
        <row r="13">
          <cell r="V13" t="str">
            <v>AUDI</v>
          </cell>
          <cell r="W13" t="str">
            <v>R8</v>
          </cell>
          <cell r="X13">
            <v>1</v>
          </cell>
        </row>
        <row r="14">
          <cell r="V14" t="str">
            <v>AUDI</v>
          </cell>
          <cell r="W14" t="str">
            <v>RS4</v>
          </cell>
          <cell r="X14">
            <v>1</v>
          </cell>
        </row>
        <row r="15">
          <cell r="V15" t="str">
            <v>AUDI</v>
          </cell>
          <cell r="W15" t="str">
            <v>TT</v>
          </cell>
          <cell r="X15">
            <v>4</v>
          </cell>
        </row>
        <row r="16">
          <cell r="V16" t="str">
            <v>AUDI</v>
          </cell>
          <cell r="W16" t="str">
            <v>TTS</v>
          </cell>
          <cell r="X16">
            <v>1</v>
          </cell>
        </row>
        <row r="17">
          <cell r="V17" t="str">
            <v>BMW</v>
          </cell>
          <cell r="W17">
            <v>0</v>
          </cell>
          <cell r="X17">
            <v>32</v>
          </cell>
        </row>
        <row r="18">
          <cell r="V18" t="str">
            <v>BMW</v>
          </cell>
          <cell r="W18" t="str">
            <v>116IA</v>
          </cell>
          <cell r="X18">
            <v>1</v>
          </cell>
        </row>
        <row r="19">
          <cell r="V19" t="str">
            <v>BMW</v>
          </cell>
          <cell r="W19" t="str">
            <v>118IA</v>
          </cell>
          <cell r="X19">
            <v>13</v>
          </cell>
        </row>
        <row r="20">
          <cell r="V20" t="str">
            <v>BMW</v>
          </cell>
          <cell r="W20" t="str">
            <v>118IA/</v>
          </cell>
          <cell r="X20">
            <v>6</v>
          </cell>
        </row>
        <row r="21">
          <cell r="V21" t="str">
            <v>BMW</v>
          </cell>
          <cell r="W21" t="str">
            <v>120IA</v>
          </cell>
          <cell r="X21">
            <v>8</v>
          </cell>
        </row>
        <row r="22">
          <cell r="V22" t="str">
            <v>BMW</v>
          </cell>
          <cell r="W22" t="str">
            <v>125I</v>
          </cell>
          <cell r="X22">
            <v>2</v>
          </cell>
        </row>
        <row r="23">
          <cell r="V23" t="str">
            <v>BMW</v>
          </cell>
          <cell r="W23" t="str">
            <v>130I</v>
          </cell>
          <cell r="X23">
            <v>1</v>
          </cell>
        </row>
        <row r="24">
          <cell r="V24" t="str">
            <v>BMW</v>
          </cell>
          <cell r="W24" t="str">
            <v>130IA</v>
          </cell>
          <cell r="X24">
            <v>1</v>
          </cell>
        </row>
        <row r="25">
          <cell r="V25" t="str">
            <v>BMW</v>
          </cell>
          <cell r="W25" t="str">
            <v>225I</v>
          </cell>
          <cell r="X25">
            <v>1</v>
          </cell>
        </row>
        <row r="26">
          <cell r="V26" t="str">
            <v>BMW</v>
          </cell>
          <cell r="W26" t="str">
            <v>316I</v>
          </cell>
          <cell r="X26">
            <v>2</v>
          </cell>
        </row>
        <row r="27">
          <cell r="V27" t="str">
            <v>BMW</v>
          </cell>
          <cell r="W27" t="str">
            <v>318IA</v>
          </cell>
          <cell r="X27">
            <v>7</v>
          </cell>
        </row>
        <row r="28">
          <cell r="V28" t="str">
            <v>BMW</v>
          </cell>
          <cell r="W28" t="str">
            <v>320IA</v>
          </cell>
          <cell r="X28">
            <v>32</v>
          </cell>
        </row>
        <row r="29">
          <cell r="V29" t="str">
            <v>BMW</v>
          </cell>
          <cell r="W29" t="str">
            <v>328IA</v>
          </cell>
          <cell r="X29">
            <v>9</v>
          </cell>
        </row>
        <row r="30">
          <cell r="V30" t="str">
            <v>BMW</v>
          </cell>
          <cell r="W30" t="str">
            <v>420I</v>
          </cell>
          <cell r="X30">
            <v>1</v>
          </cell>
        </row>
        <row r="31">
          <cell r="V31" t="str">
            <v>BMW</v>
          </cell>
          <cell r="W31" t="str">
            <v>I8</v>
          </cell>
          <cell r="X31">
            <v>1</v>
          </cell>
        </row>
        <row r="32">
          <cell r="V32" t="str">
            <v>BMW</v>
          </cell>
          <cell r="W32" t="str">
            <v>M2</v>
          </cell>
          <cell r="X32">
            <v>2</v>
          </cell>
        </row>
        <row r="33">
          <cell r="V33" t="str">
            <v>BMW</v>
          </cell>
          <cell r="W33" t="str">
            <v>M4</v>
          </cell>
          <cell r="X33">
            <v>2</v>
          </cell>
        </row>
        <row r="34">
          <cell r="V34" t="str">
            <v>BMW</v>
          </cell>
          <cell r="W34" t="str">
            <v>M5</v>
          </cell>
          <cell r="X34">
            <v>1</v>
          </cell>
        </row>
        <row r="35">
          <cell r="V35" t="str">
            <v>BMW</v>
          </cell>
          <cell r="W35" t="str">
            <v>M6</v>
          </cell>
          <cell r="X35">
            <v>2</v>
          </cell>
        </row>
        <row r="36">
          <cell r="V36" t="str">
            <v>BMW</v>
          </cell>
          <cell r="W36" t="str">
            <v>X1</v>
          </cell>
          <cell r="X36">
            <v>57</v>
          </cell>
        </row>
        <row r="37">
          <cell r="V37" t="str">
            <v>BMW</v>
          </cell>
          <cell r="W37" t="str">
            <v>X2</v>
          </cell>
          <cell r="X37">
            <v>6</v>
          </cell>
        </row>
        <row r="38">
          <cell r="V38" t="str">
            <v>BMW</v>
          </cell>
          <cell r="W38" t="str">
            <v>X3</v>
          </cell>
          <cell r="X38">
            <v>5</v>
          </cell>
        </row>
        <row r="39">
          <cell r="V39" t="str">
            <v>BMW</v>
          </cell>
          <cell r="W39" t="str">
            <v>X4</v>
          </cell>
          <cell r="X39">
            <v>2</v>
          </cell>
        </row>
        <row r="40">
          <cell r="V40" t="str">
            <v>BMW</v>
          </cell>
          <cell r="W40" t="str">
            <v>X5</v>
          </cell>
          <cell r="X40">
            <v>5</v>
          </cell>
        </row>
        <row r="41">
          <cell r="V41" t="str">
            <v>BMW</v>
          </cell>
          <cell r="W41" t="str">
            <v>X6</v>
          </cell>
          <cell r="X41">
            <v>19</v>
          </cell>
        </row>
        <row r="42">
          <cell r="V42" t="str">
            <v>BMW</v>
          </cell>
          <cell r="W42" t="str">
            <v>Z4</v>
          </cell>
          <cell r="X42">
            <v>4</v>
          </cell>
        </row>
        <row r="43">
          <cell r="V43" t="str">
            <v>CHERY</v>
          </cell>
          <cell r="W43" t="str">
            <v>ARRIZO</v>
          </cell>
          <cell r="X43">
            <v>1</v>
          </cell>
        </row>
        <row r="44">
          <cell r="V44" t="str">
            <v>CHERY</v>
          </cell>
          <cell r="W44" t="str">
            <v>CELER</v>
          </cell>
          <cell r="X44">
            <v>12</v>
          </cell>
        </row>
        <row r="45">
          <cell r="V45" t="str">
            <v>CHERY</v>
          </cell>
          <cell r="W45" t="str">
            <v>CIELO</v>
          </cell>
          <cell r="X45">
            <v>4</v>
          </cell>
        </row>
        <row r="46">
          <cell r="V46" t="str">
            <v>CHERY</v>
          </cell>
          <cell r="W46" t="str">
            <v>FACE</v>
          </cell>
          <cell r="X46">
            <v>11</v>
          </cell>
        </row>
        <row r="47">
          <cell r="V47" t="str">
            <v>CHERY</v>
          </cell>
          <cell r="W47" t="str">
            <v>QQ</v>
          </cell>
          <cell r="X47">
            <v>21</v>
          </cell>
        </row>
        <row r="48">
          <cell r="V48" t="str">
            <v>CHERY</v>
          </cell>
          <cell r="W48" t="str">
            <v>TIGGO</v>
          </cell>
          <cell r="X48">
            <v>22</v>
          </cell>
        </row>
        <row r="49">
          <cell r="V49" t="str">
            <v>CHEVROLET</v>
          </cell>
          <cell r="W49">
            <v>0</v>
          </cell>
          <cell r="X49">
            <v>1</v>
          </cell>
        </row>
        <row r="50">
          <cell r="V50" t="str">
            <v>CHEVROLET</v>
          </cell>
          <cell r="W50" t="str">
            <v>AGILE</v>
          </cell>
          <cell r="X50">
            <v>249</v>
          </cell>
        </row>
        <row r="51">
          <cell r="V51" t="str">
            <v>CHEVROLET</v>
          </cell>
          <cell r="W51" t="str">
            <v>ASTRA</v>
          </cell>
          <cell r="X51">
            <v>145</v>
          </cell>
        </row>
        <row r="52">
          <cell r="V52" t="str">
            <v>CHEVROLET</v>
          </cell>
          <cell r="W52" t="str">
            <v>CAMARO</v>
          </cell>
          <cell r="X52">
            <v>8</v>
          </cell>
        </row>
        <row r="53">
          <cell r="V53" t="str">
            <v>CHEVROLET</v>
          </cell>
          <cell r="W53" t="str">
            <v>CAPTIVA</v>
          </cell>
          <cell r="X53">
            <v>137</v>
          </cell>
        </row>
        <row r="54">
          <cell r="V54" t="str">
            <v>CHEVROLET</v>
          </cell>
          <cell r="W54" t="str">
            <v>CELTA</v>
          </cell>
          <cell r="X54">
            <v>1028</v>
          </cell>
        </row>
        <row r="55">
          <cell r="V55" t="str">
            <v>CHEVROLET</v>
          </cell>
          <cell r="W55" t="str">
            <v>CHEVROLET/CLASSIC</v>
          </cell>
          <cell r="X55">
            <v>1</v>
          </cell>
        </row>
        <row r="56">
          <cell r="V56" t="str">
            <v>CHEVROLET</v>
          </cell>
          <cell r="W56" t="str">
            <v>CHEVROLET/ONIX</v>
          </cell>
          <cell r="X56">
            <v>1</v>
          </cell>
        </row>
        <row r="57">
          <cell r="V57" t="str">
            <v>CHEVROLET</v>
          </cell>
          <cell r="W57" t="str">
            <v>CLASSIC</v>
          </cell>
          <cell r="X57">
            <v>500</v>
          </cell>
        </row>
        <row r="58">
          <cell r="V58" t="str">
            <v>CHEVROLET</v>
          </cell>
          <cell r="W58" t="str">
            <v>COBALT</v>
          </cell>
          <cell r="X58">
            <v>238</v>
          </cell>
        </row>
        <row r="59">
          <cell r="V59" t="str">
            <v>CHEVROLET</v>
          </cell>
          <cell r="W59" t="str">
            <v>CORSA</v>
          </cell>
          <cell r="X59">
            <v>561</v>
          </cell>
        </row>
        <row r="60">
          <cell r="V60" t="str">
            <v>CHEVROLET</v>
          </cell>
          <cell r="W60" t="str">
            <v>CRUZE</v>
          </cell>
          <cell r="X60">
            <v>219</v>
          </cell>
        </row>
        <row r="61">
          <cell r="V61" t="str">
            <v>CHEVROLET</v>
          </cell>
          <cell r="W61" t="str">
            <v>GM/ASTRA</v>
          </cell>
          <cell r="X61">
            <v>2</v>
          </cell>
        </row>
        <row r="62">
          <cell r="V62" t="str">
            <v>CHEVROLET</v>
          </cell>
          <cell r="W62" t="str">
            <v>GM/CORSA</v>
          </cell>
          <cell r="X62">
            <v>1</v>
          </cell>
        </row>
        <row r="63">
          <cell r="V63" t="str">
            <v>CHEVROLET</v>
          </cell>
          <cell r="W63" t="str">
            <v>I/CHEVROLET</v>
          </cell>
          <cell r="X63">
            <v>1</v>
          </cell>
        </row>
        <row r="64">
          <cell r="V64" t="str">
            <v>CHEVROLET</v>
          </cell>
          <cell r="W64" t="str">
            <v>I/GM</v>
          </cell>
          <cell r="X64">
            <v>1</v>
          </cell>
        </row>
        <row r="65">
          <cell r="V65" t="str">
            <v>CHEVROLET</v>
          </cell>
          <cell r="W65" t="str">
            <v>JOY</v>
          </cell>
          <cell r="X65">
            <v>37</v>
          </cell>
        </row>
        <row r="66">
          <cell r="V66" t="str">
            <v>CHEVROLET</v>
          </cell>
          <cell r="W66" t="str">
            <v>MALIBU</v>
          </cell>
          <cell r="X66">
            <v>4</v>
          </cell>
        </row>
        <row r="67">
          <cell r="V67" t="str">
            <v>CHEVROLET</v>
          </cell>
          <cell r="W67" t="str">
            <v>MERIVA</v>
          </cell>
          <cell r="X67">
            <v>155</v>
          </cell>
        </row>
        <row r="68">
          <cell r="V68" t="str">
            <v>CHEVROLET</v>
          </cell>
          <cell r="W68" t="str">
            <v>MONTANA</v>
          </cell>
          <cell r="X68">
            <v>180</v>
          </cell>
        </row>
        <row r="69">
          <cell r="V69" t="str">
            <v>CHEVROLET</v>
          </cell>
          <cell r="W69" t="str">
            <v>OMEGA</v>
          </cell>
          <cell r="X69">
            <v>1</v>
          </cell>
        </row>
        <row r="70">
          <cell r="V70" t="str">
            <v>CHEVROLET</v>
          </cell>
          <cell r="W70" t="str">
            <v>ONIX</v>
          </cell>
          <cell r="X70">
            <v>1012</v>
          </cell>
        </row>
        <row r="71">
          <cell r="V71" t="str">
            <v>CHEVROLET</v>
          </cell>
          <cell r="W71" t="str">
            <v>PRISMA</v>
          </cell>
          <cell r="X71">
            <v>680</v>
          </cell>
        </row>
        <row r="72">
          <cell r="V72" t="str">
            <v>CHEVROLET</v>
          </cell>
          <cell r="W72" t="str">
            <v>S10</v>
          </cell>
          <cell r="X72">
            <v>172</v>
          </cell>
        </row>
        <row r="73">
          <cell r="V73" t="str">
            <v>CHEVROLET</v>
          </cell>
          <cell r="W73" t="str">
            <v>SONIC</v>
          </cell>
          <cell r="X73">
            <v>39</v>
          </cell>
        </row>
        <row r="74">
          <cell r="V74" t="str">
            <v>CHEVROLET</v>
          </cell>
          <cell r="W74" t="str">
            <v>SPIN</v>
          </cell>
          <cell r="X74">
            <v>291</v>
          </cell>
        </row>
        <row r="75">
          <cell r="V75" t="str">
            <v>CHEVROLET</v>
          </cell>
          <cell r="W75" t="str">
            <v>TRACKER</v>
          </cell>
          <cell r="X75">
            <v>44</v>
          </cell>
        </row>
        <row r="76">
          <cell r="V76" t="str">
            <v>CHEVROLET</v>
          </cell>
          <cell r="W76" t="str">
            <v>TRAILBLAZER</v>
          </cell>
          <cell r="X76">
            <v>7</v>
          </cell>
        </row>
        <row r="77">
          <cell r="V77" t="str">
            <v>CHEVROLET</v>
          </cell>
          <cell r="W77" t="str">
            <v>VECTRA</v>
          </cell>
          <cell r="X77">
            <v>155</v>
          </cell>
        </row>
        <row r="78">
          <cell r="V78" t="str">
            <v>CHEVROLET</v>
          </cell>
          <cell r="W78" t="str">
            <v>ZAFIRA</v>
          </cell>
          <cell r="X78">
            <v>67</v>
          </cell>
        </row>
        <row r="79">
          <cell r="V79" t="str">
            <v>CHRYSLER</v>
          </cell>
          <cell r="W79">
            <v>300</v>
          </cell>
          <cell r="X79">
            <v>6</v>
          </cell>
        </row>
        <row r="80">
          <cell r="V80" t="str">
            <v>CHRYSLER</v>
          </cell>
          <cell r="W80" t="str">
            <v>PT</v>
          </cell>
          <cell r="X80">
            <v>7</v>
          </cell>
        </row>
        <row r="81">
          <cell r="V81" t="str">
            <v>CHRYSLER</v>
          </cell>
          <cell r="W81" t="str">
            <v>TOWN</v>
          </cell>
          <cell r="X81">
            <v>6</v>
          </cell>
        </row>
        <row r="82">
          <cell r="V82" t="str">
            <v>CITROEN</v>
          </cell>
          <cell r="W82" t="str">
            <v>AIRCROSS</v>
          </cell>
          <cell r="X82">
            <v>80</v>
          </cell>
        </row>
        <row r="83">
          <cell r="V83" t="str">
            <v>CITROEN</v>
          </cell>
          <cell r="W83" t="str">
            <v>C3</v>
          </cell>
          <cell r="X83">
            <v>438</v>
          </cell>
        </row>
        <row r="84">
          <cell r="V84" t="str">
            <v>CITROEN</v>
          </cell>
          <cell r="W84" t="str">
            <v>C4</v>
          </cell>
          <cell r="X84">
            <v>250</v>
          </cell>
        </row>
        <row r="85">
          <cell r="V85" t="str">
            <v>CITROEN</v>
          </cell>
          <cell r="W85" t="str">
            <v>C5</v>
          </cell>
          <cell r="X85">
            <v>4</v>
          </cell>
        </row>
        <row r="86">
          <cell r="V86" t="str">
            <v>CITROEN</v>
          </cell>
          <cell r="W86" t="str">
            <v>CITROE</v>
          </cell>
          <cell r="X86">
            <v>1</v>
          </cell>
        </row>
        <row r="87">
          <cell r="V87" t="str">
            <v>CITROEN</v>
          </cell>
          <cell r="W87" t="str">
            <v>DS3</v>
          </cell>
          <cell r="X87">
            <v>1</v>
          </cell>
        </row>
        <row r="88">
          <cell r="V88" t="str">
            <v>CITROEN</v>
          </cell>
          <cell r="W88" t="str">
            <v>DS4</v>
          </cell>
          <cell r="X88">
            <v>6</v>
          </cell>
        </row>
        <row r="89">
          <cell r="V89" t="str">
            <v>CITROEN</v>
          </cell>
          <cell r="W89" t="str">
            <v>DS5</v>
          </cell>
          <cell r="X89">
            <v>3</v>
          </cell>
        </row>
        <row r="90">
          <cell r="V90" t="str">
            <v>CITROEN</v>
          </cell>
          <cell r="W90" t="str">
            <v>I/CITROEN</v>
          </cell>
          <cell r="X90">
            <v>1</v>
          </cell>
        </row>
        <row r="91">
          <cell r="V91" t="str">
            <v>CITROEN</v>
          </cell>
          <cell r="W91" t="str">
            <v>JUMPER</v>
          </cell>
          <cell r="X91">
            <v>3</v>
          </cell>
        </row>
        <row r="92">
          <cell r="V92" t="str">
            <v>CITROEN</v>
          </cell>
          <cell r="W92" t="str">
            <v>XSARA</v>
          </cell>
          <cell r="X92">
            <v>38</v>
          </cell>
        </row>
        <row r="93">
          <cell r="V93" t="str">
            <v>DODGE</v>
          </cell>
          <cell r="W93" t="str">
            <v>JOURNEY</v>
          </cell>
          <cell r="X93">
            <v>29</v>
          </cell>
        </row>
        <row r="94">
          <cell r="V94" t="str">
            <v>DODGE</v>
          </cell>
          <cell r="W94" t="str">
            <v>RAM</v>
          </cell>
          <cell r="X94">
            <v>5</v>
          </cell>
        </row>
        <row r="95">
          <cell r="V95" t="str">
            <v>EFFA</v>
          </cell>
          <cell r="W95" t="str">
            <v>K01</v>
          </cell>
          <cell r="X95">
            <v>1</v>
          </cell>
        </row>
        <row r="96">
          <cell r="V96" t="str">
            <v>FIAT</v>
          </cell>
          <cell r="W96">
            <v>500</v>
          </cell>
          <cell r="X96">
            <v>24</v>
          </cell>
        </row>
        <row r="97">
          <cell r="V97" t="str">
            <v>FIAT</v>
          </cell>
          <cell r="W97" t="str">
            <v>ARGO</v>
          </cell>
          <cell r="X97">
            <v>145</v>
          </cell>
        </row>
        <row r="98">
          <cell r="V98" t="str">
            <v>FIAT</v>
          </cell>
          <cell r="W98" t="str">
            <v>BRAVO</v>
          </cell>
          <cell r="X98">
            <v>55</v>
          </cell>
        </row>
        <row r="99">
          <cell r="V99" t="str">
            <v>FIAT</v>
          </cell>
          <cell r="W99" t="str">
            <v>CRONOS</v>
          </cell>
          <cell r="X99">
            <v>15</v>
          </cell>
        </row>
        <row r="100">
          <cell r="V100" t="str">
            <v>FIAT</v>
          </cell>
          <cell r="W100" t="str">
            <v>DOBLO</v>
          </cell>
          <cell r="X100">
            <v>120</v>
          </cell>
        </row>
        <row r="101">
          <cell r="V101" t="str">
            <v>FIAT</v>
          </cell>
          <cell r="W101" t="str">
            <v>DUCATO</v>
          </cell>
          <cell r="X101">
            <v>38</v>
          </cell>
        </row>
        <row r="102">
          <cell r="V102" t="str">
            <v>FIAT</v>
          </cell>
          <cell r="W102" t="str">
            <v>FIAT/PALIO</v>
          </cell>
          <cell r="X102">
            <v>3</v>
          </cell>
        </row>
        <row r="103">
          <cell r="V103" t="str">
            <v>FIAT</v>
          </cell>
          <cell r="W103" t="str">
            <v>FIAT/UNO</v>
          </cell>
          <cell r="X103">
            <v>1</v>
          </cell>
        </row>
        <row r="104">
          <cell r="V104" t="str">
            <v>FIAT</v>
          </cell>
          <cell r="W104" t="str">
            <v>FIORINO</v>
          </cell>
          <cell r="X104">
            <v>264</v>
          </cell>
        </row>
        <row r="105">
          <cell r="V105" t="str">
            <v>FIAT</v>
          </cell>
          <cell r="W105" t="str">
            <v>FREEMONT</v>
          </cell>
          <cell r="X105">
            <v>59</v>
          </cell>
        </row>
        <row r="106">
          <cell r="V106" t="str">
            <v>FIAT</v>
          </cell>
          <cell r="W106" t="str">
            <v>GRAND</v>
          </cell>
          <cell r="X106">
            <v>220</v>
          </cell>
        </row>
        <row r="107">
          <cell r="V107" t="str">
            <v>FIAT</v>
          </cell>
          <cell r="W107" t="str">
            <v>I/FIAT</v>
          </cell>
          <cell r="X107">
            <v>1</v>
          </cell>
        </row>
        <row r="108">
          <cell r="V108" t="str">
            <v>FIAT</v>
          </cell>
          <cell r="W108" t="str">
            <v>IDEA</v>
          </cell>
          <cell r="X108">
            <v>317</v>
          </cell>
        </row>
        <row r="109">
          <cell r="V109" t="str">
            <v>FIAT</v>
          </cell>
          <cell r="W109" t="str">
            <v>LINEA</v>
          </cell>
          <cell r="X109">
            <v>86</v>
          </cell>
        </row>
        <row r="110">
          <cell r="V110" t="str">
            <v>FIAT</v>
          </cell>
          <cell r="W110" t="str">
            <v>MOBI</v>
          </cell>
          <cell r="X110">
            <v>112</v>
          </cell>
        </row>
        <row r="111">
          <cell r="V111" t="str">
            <v>FIAT</v>
          </cell>
          <cell r="W111" t="str">
            <v>PALIO</v>
          </cell>
          <cell r="X111">
            <v>1699</v>
          </cell>
        </row>
        <row r="112">
          <cell r="V112" t="str">
            <v>FIAT</v>
          </cell>
          <cell r="W112" t="str">
            <v>PUNTO</v>
          </cell>
          <cell r="X112">
            <v>423</v>
          </cell>
        </row>
        <row r="113">
          <cell r="V113" t="str">
            <v>FIAT</v>
          </cell>
          <cell r="W113" t="str">
            <v>SIENA</v>
          </cell>
          <cell r="X113">
            <v>493</v>
          </cell>
        </row>
        <row r="114">
          <cell r="V114" t="str">
            <v>FIAT</v>
          </cell>
          <cell r="W114" t="str">
            <v>STILO</v>
          </cell>
          <cell r="X114">
            <v>72</v>
          </cell>
        </row>
        <row r="115">
          <cell r="V115" t="str">
            <v>FIAT</v>
          </cell>
          <cell r="W115" t="str">
            <v>STRADA</v>
          </cell>
          <cell r="X115">
            <v>295</v>
          </cell>
        </row>
        <row r="116">
          <cell r="V116" t="str">
            <v>FIAT</v>
          </cell>
          <cell r="W116" t="str">
            <v>TORO</v>
          </cell>
          <cell r="X116">
            <v>131</v>
          </cell>
        </row>
        <row r="117">
          <cell r="V117" t="str">
            <v>FIAT</v>
          </cell>
          <cell r="W117" t="str">
            <v>UNO</v>
          </cell>
          <cell r="X117">
            <v>1385</v>
          </cell>
        </row>
        <row r="118">
          <cell r="V118" t="str">
            <v>FORD</v>
          </cell>
          <cell r="W118" t="str">
            <v>COURIER</v>
          </cell>
          <cell r="X118">
            <v>6</v>
          </cell>
        </row>
        <row r="119">
          <cell r="V119" t="str">
            <v>FORD</v>
          </cell>
          <cell r="W119" t="str">
            <v>ECOSPORT</v>
          </cell>
          <cell r="X119">
            <v>423</v>
          </cell>
        </row>
        <row r="120">
          <cell r="V120" t="str">
            <v>FORD</v>
          </cell>
          <cell r="W120" t="str">
            <v>EDGE</v>
          </cell>
          <cell r="X120">
            <v>30</v>
          </cell>
        </row>
        <row r="121">
          <cell r="V121" t="str">
            <v>FORD</v>
          </cell>
          <cell r="W121" t="str">
            <v>F-250</v>
          </cell>
          <cell r="X121">
            <v>3</v>
          </cell>
        </row>
        <row r="122">
          <cell r="V122" t="str">
            <v>FORD</v>
          </cell>
          <cell r="W122" t="str">
            <v>FIESTA</v>
          </cell>
          <cell r="X122">
            <v>1221</v>
          </cell>
        </row>
        <row r="123">
          <cell r="V123" t="str">
            <v>FORD</v>
          </cell>
          <cell r="W123" t="str">
            <v>FOCUS</v>
          </cell>
          <cell r="X123">
            <v>223</v>
          </cell>
        </row>
        <row r="124">
          <cell r="V124" t="str">
            <v>FORD</v>
          </cell>
          <cell r="W124" t="str">
            <v>FORD/FIESTA</v>
          </cell>
          <cell r="X124">
            <v>1</v>
          </cell>
        </row>
        <row r="125">
          <cell r="V125" t="str">
            <v>FORD</v>
          </cell>
          <cell r="W125" t="str">
            <v>FUSION</v>
          </cell>
          <cell r="X125">
            <v>133</v>
          </cell>
        </row>
        <row r="126">
          <cell r="V126" t="str">
            <v>FORD</v>
          </cell>
          <cell r="W126" t="str">
            <v>I/FORD</v>
          </cell>
          <cell r="X126">
            <v>1</v>
          </cell>
        </row>
        <row r="127">
          <cell r="V127" t="str">
            <v>FORD</v>
          </cell>
          <cell r="W127" t="str">
            <v>KA</v>
          </cell>
          <cell r="X127">
            <v>968</v>
          </cell>
        </row>
        <row r="128">
          <cell r="V128" t="str">
            <v>FORD</v>
          </cell>
          <cell r="W128" t="str">
            <v>KA+</v>
          </cell>
          <cell r="X128">
            <v>178</v>
          </cell>
        </row>
        <row r="129">
          <cell r="V129" t="str">
            <v>FORD</v>
          </cell>
          <cell r="W129" t="str">
            <v>MUSTANG</v>
          </cell>
          <cell r="X129">
            <v>3</v>
          </cell>
        </row>
        <row r="130">
          <cell r="V130" t="str">
            <v>FORD</v>
          </cell>
          <cell r="W130" t="str">
            <v>RANGER</v>
          </cell>
          <cell r="X130">
            <v>95</v>
          </cell>
        </row>
        <row r="131">
          <cell r="V131" t="str">
            <v>FORD</v>
          </cell>
          <cell r="W131" t="str">
            <v>TRANSIT</v>
          </cell>
          <cell r="X131">
            <v>11</v>
          </cell>
        </row>
        <row r="132">
          <cell r="V132" t="str">
            <v>FOTON</v>
          </cell>
          <cell r="W132" t="str">
            <v>AUMARK</v>
          </cell>
          <cell r="X132">
            <v>1</v>
          </cell>
        </row>
        <row r="133">
          <cell r="V133" t="str">
            <v>GEELY</v>
          </cell>
          <cell r="W133" t="str">
            <v>EC7</v>
          </cell>
          <cell r="X133">
            <v>1</v>
          </cell>
        </row>
        <row r="134">
          <cell r="V134" t="str">
            <v>HAFEI</v>
          </cell>
          <cell r="W134" t="str">
            <v>TOWNER</v>
          </cell>
          <cell r="X134">
            <v>6</v>
          </cell>
        </row>
        <row r="135">
          <cell r="V135" t="str">
            <v>HONDA</v>
          </cell>
          <cell r="W135">
            <v>0</v>
          </cell>
          <cell r="X135">
            <v>1</v>
          </cell>
        </row>
        <row r="136">
          <cell r="V136" t="str">
            <v>HONDA</v>
          </cell>
          <cell r="W136" t="str">
            <v>ACCORD</v>
          </cell>
          <cell r="X136">
            <v>1</v>
          </cell>
        </row>
        <row r="137">
          <cell r="V137" t="str">
            <v>HONDA</v>
          </cell>
          <cell r="W137" t="str">
            <v>CITY</v>
          </cell>
          <cell r="X137">
            <v>133</v>
          </cell>
        </row>
        <row r="138">
          <cell r="V138" t="str">
            <v>HONDA</v>
          </cell>
          <cell r="W138" t="str">
            <v>CIVIC</v>
          </cell>
          <cell r="X138">
            <v>602</v>
          </cell>
        </row>
        <row r="139">
          <cell r="V139" t="str">
            <v>HONDA</v>
          </cell>
          <cell r="W139" t="str">
            <v>CR-V</v>
          </cell>
          <cell r="X139">
            <v>69</v>
          </cell>
        </row>
        <row r="140">
          <cell r="V140" t="str">
            <v>HONDA</v>
          </cell>
          <cell r="W140" t="str">
            <v>FIT</v>
          </cell>
          <cell r="X140">
            <v>240</v>
          </cell>
        </row>
        <row r="141">
          <cell r="V141" t="str">
            <v>HONDA</v>
          </cell>
          <cell r="W141" t="str">
            <v>HONDA/CIVIC</v>
          </cell>
          <cell r="X141">
            <v>1</v>
          </cell>
        </row>
        <row r="142">
          <cell r="V142" t="str">
            <v>HONDA</v>
          </cell>
          <cell r="W142" t="str">
            <v>HR-V</v>
          </cell>
          <cell r="X142">
            <v>81</v>
          </cell>
        </row>
        <row r="143">
          <cell r="V143" t="str">
            <v>HONDA</v>
          </cell>
          <cell r="W143" t="str">
            <v>WR-V</v>
          </cell>
          <cell r="X143">
            <v>1</v>
          </cell>
        </row>
        <row r="144">
          <cell r="V144" t="str">
            <v>HYUNDAI</v>
          </cell>
          <cell r="W144" t="str">
            <v>AZERA</v>
          </cell>
          <cell r="X144">
            <v>60</v>
          </cell>
        </row>
        <row r="145">
          <cell r="V145" t="str">
            <v>HYUNDAI</v>
          </cell>
          <cell r="W145" t="str">
            <v>CRETA</v>
          </cell>
          <cell r="X145">
            <v>45</v>
          </cell>
        </row>
        <row r="146">
          <cell r="V146" t="str">
            <v>HYUNDAI</v>
          </cell>
          <cell r="W146" t="str">
            <v>ELANTRA</v>
          </cell>
          <cell r="X146">
            <v>38</v>
          </cell>
        </row>
        <row r="147">
          <cell r="V147" t="str">
            <v>HYUNDAI</v>
          </cell>
          <cell r="W147" t="str">
            <v>GENESIS</v>
          </cell>
          <cell r="X147">
            <v>1</v>
          </cell>
        </row>
        <row r="148">
          <cell r="V148" t="str">
            <v>HYUNDAI</v>
          </cell>
          <cell r="W148" t="str">
            <v>GRAND</v>
          </cell>
          <cell r="X148">
            <v>4</v>
          </cell>
        </row>
        <row r="149">
          <cell r="V149" t="str">
            <v>HYUNDAI</v>
          </cell>
          <cell r="W149" t="str">
            <v>HB20</v>
          </cell>
          <cell r="X149">
            <v>768</v>
          </cell>
        </row>
        <row r="150">
          <cell r="V150" t="str">
            <v>HYUNDAI</v>
          </cell>
          <cell r="W150" t="str">
            <v>HB20S</v>
          </cell>
          <cell r="X150">
            <v>200</v>
          </cell>
        </row>
        <row r="151">
          <cell r="V151" t="str">
            <v>HYUNDAI</v>
          </cell>
          <cell r="W151" t="str">
            <v>HB20X</v>
          </cell>
          <cell r="X151">
            <v>22</v>
          </cell>
        </row>
        <row r="152">
          <cell r="V152" t="str">
            <v>HYUNDAI</v>
          </cell>
          <cell r="W152" t="str">
            <v>HR</v>
          </cell>
          <cell r="X152">
            <v>45</v>
          </cell>
        </row>
        <row r="153">
          <cell r="V153" t="str">
            <v>HYUNDAI</v>
          </cell>
          <cell r="W153" t="str">
            <v>I/HYUNDAI</v>
          </cell>
          <cell r="X153">
            <v>1</v>
          </cell>
        </row>
        <row r="154">
          <cell r="V154" t="str">
            <v>HYUNDAI</v>
          </cell>
          <cell r="W154" t="str">
            <v>I30</v>
          </cell>
          <cell r="X154">
            <v>435</v>
          </cell>
        </row>
        <row r="155">
          <cell r="V155" t="str">
            <v>HYUNDAI</v>
          </cell>
          <cell r="W155" t="str">
            <v>I30CW</v>
          </cell>
          <cell r="X155">
            <v>19</v>
          </cell>
        </row>
        <row r="156">
          <cell r="V156" t="str">
            <v>HYUNDAI</v>
          </cell>
          <cell r="W156" t="str">
            <v>IX35</v>
          </cell>
          <cell r="X156">
            <v>161</v>
          </cell>
        </row>
        <row r="157">
          <cell r="V157" t="str">
            <v>HYUNDAI</v>
          </cell>
          <cell r="W157" t="str">
            <v>SANTA</v>
          </cell>
          <cell r="X157">
            <v>83</v>
          </cell>
        </row>
        <row r="158">
          <cell r="V158" t="str">
            <v>HYUNDAI</v>
          </cell>
          <cell r="W158" t="str">
            <v>SONATA</v>
          </cell>
          <cell r="X158">
            <v>45</v>
          </cell>
        </row>
        <row r="159">
          <cell r="V159" t="str">
            <v>HYUNDAI</v>
          </cell>
          <cell r="W159" t="str">
            <v>TUCSON</v>
          </cell>
          <cell r="X159">
            <v>327</v>
          </cell>
        </row>
        <row r="160">
          <cell r="V160" t="str">
            <v>HYUNDAI</v>
          </cell>
          <cell r="W160" t="str">
            <v>VELOSTER</v>
          </cell>
          <cell r="X160">
            <v>38</v>
          </cell>
        </row>
        <row r="161">
          <cell r="V161" t="str">
            <v>HYUNDAI</v>
          </cell>
          <cell r="W161" t="str">
            <v>VERACRUZ</v>
          </cell>
          <cell r="X161">
            <v>41</v>
          </cell>
        </row>
        <row r="162">
          <cell r="V162" t="str">
            <v>JAC</v>
          </cell>
          <cell r="W162" t="str">
            <v>IEV</v>
          </cell>
          <cell r="X162">
            <v>2</v>
          </cell>
        </row>
        <row r="163">
          <cell r="V163" t="str">
            <v>JAC</v>
          </cell>
          <cell r="W163" t="str">
            <v>J2</v>
          </cell>
          <cell r="X163">
            <v>12</v>
          </cell>
        </row>
        <row r="164">
          <cell r="V164" t="str">
            <v>JAC</v>
          </cell>
          <cell r="W164" t="str">
            <v>J3</v>
          </cell>
          <cell r="X164">
            <v>65</v>
          </cell>
        </row>
        <row r="165">
          <cell r="V165" t="str">
            <v>JAC</v>
          </cell>
          <cell r="W165" t="str">
            <v>J5</v>
          </cell>
          <cell r="X165">
            <v>6</v>
          </cell>
        </row>
        <row r="166">
          <cell r="V166" t="str">
            <v>JAC</v>
          </cell>
          <cell r="W166" t="str">
            <v>J6</v>
          </cell>
          <cell r="X166">
            <v>11</v>
          </cell>
        </row>
        <row r="167">
          <cell r="V167" t="str">
            <v>JAC</v>
          </cell>
          <cell r="W167" t="str">
            <v>T40</v>
          </cell>
          <cell r="X167">
            <v>4</v>
          </cell>
        </row>
        <row r="168">
          <cell r="V168" t="str">
            <v>JAC</v>
          </cell>
          <cell r="W168" t="str">
            <v>T5</v>
          </cell>
          <cell r="X168">
            <v>5</v>
          </cell>
        </row>
        <row r="169">
          <cell r="V169" t="str">
            <v>JAC</v>
          </cell>
          <cell r="W169" t="str">
            <v>T6</v>
          </cell>
          <cell r="X169">
            <v>7</v>
          </cell>
        </row>
        <row r="170">
          <cell r="V170" t="str">
            <v>JAC</v>
          </cell>
          <cell r="W170" t="str">
            <v>T60</v>
          </cell>
          <cell r="X170">
            <v>1</v>
          </cell>
        </row>
        <row r="171">
          <cell r="V171" t="str">
            <v>JAC</v>
          </cell>
          <cell r="W171" t="str">
            <v>T8</v>
          </cell>
          <cell r="X171">
            <v>1</v>
          </cell>
        </row>
        <row r="172">
          <cell r="V172" t="str">
            <v>JAC</v>
          </cell>
          <cell r="W172" t="str">
            <v>T80</v>
          </cell>
          <cell r="X172">
            <v>1</v>
          </cell>
        </row>
        <row r="173">
          <cell r="V173" t="str">
            <v>JAGUAR</v>
          </cell>
          <cell r="W173" t="str">
            <v>E-PACE</v>
          </cell>
          <cell r="X173">
            <v>1</v>
          </cell>
        </row>
        <row r="174">
          <cell r="V174" t="str">
            <v>JAGUAR</v>
          </cell>
          <cell r="W174" t="str">
            <v>F-PACE</v>
          </cell>
          <cell r="X174">
            <v>5</v>
          </cell>
        </row>
        <row r="175">
          <cell r="V175" t="str">
            <v>JAGUAR</v>
          </cell>
          <cell r="W175" t="str">
            <v>XE</v>
          </cell>
          <cell r="X175">
            <v>1</v>
          </cell>
        </row>
        <row r="176">
          <cell r="V176" t="str">
            <v>JAGUAR</v>
          </cell>
          <cell r="W176" t="str">
            <v>XF</v>
          </cell>
          <cell r="X176">
            <v>2</v>
          </cell>
        </row>
        <row r="177">
          <cell r="V177" t="str">
            <v>JEEP</v>
          </cell>
          <cell r="W177" t="str">
            <v>CHEROKEE</v>
          </cell>
          <cell r="X177">
            <v>3</v>
          </cell>
        </row>
        <row r="178">
          <cell r="V178" t="str">
            <v>JEEP</v>
          </cell>
          <cell r="W178" t="str">
            <v>COMPASS</v>
          </cell>
          <cell r="X178">
            <v>90</v>
          </cell>
        </row>
        <row r="179">
          <cell r="V179" t="str">
            <v>JEEP</v>
          </cell>
          <cell r="W179" t="str">
            <v>GRAND</v>
          </cell>
          <cell r="X179">
            <v>4</v>
          </cell>
        </row>
        <row r="180">
          <cell r="V180" t="str">
            <v>JEEP</v>
          </cell>
          <cell r="W180" t="str">
            <v>RENEGADE</v>
          </cell>
          <cell r="X180">
            <v>142</v>
          </cell>
        </row>
        <row r="181">
          <cell r="V181" t="str">
            <v>JEEP</v>
          </cell>
          <cell r="W181" t="str">
            <v>RENEGADE1.8</v>
          </cell>
          <cell r="X181">
            <v>5</v>
          </cell>
        </row>
        <row r="182">
          <cell r="V182" t="str">
            <v>JINBEI</v>
          </cell>
          <cell r="W182" t="str">
            <v>TOPIC</v>
          </cell>
          <cell r="X182">
            <v>6</v>
          </cell>
        </row>
        <row r="183">
          <cell r="V183" t="str">
            <v>KIA MOTORS</v>
          </cell>
          <cell r="W183" t="str">
            <v>BONGO</v>
          </cell>
          <cell r="X183">
            <v>21</v>
          </cell>
        </row>
        <row r="184">
          <cell r="V184" t="str">
            <v>KIA MOTORS</v>
          </cell>
          <cell r="W184" t="str">
            <v>CADENZA</v>
          </cell>
          <cell r="X184">
            <v>2</v>
          </cell>
        </row>
        <row r="185">
          <cell r="V185" t="str">
            <v>KIA MOTORS</v>
          </cell>
          <cell r="W185" t="str">
            <v>CARENS</v>
          </cell>
          <cell r="X185">
            <v>2</v>
          </cell>
        </row>
        <row r="186">
          <cell r="V186" t="str">
            <v>KIA MOTORS</v>
          </cell>
          <cell r="W186" t="str">
            <v>CARNIVAL</v>
          </cell>
          <cell r="X186">
            <v>1</v>
          </cell>
        </row>
        <row r="187">
          <cell r="V187" t="str">
            <v>KIA MOTORS</v>
          </cell>
          <cell r="W187" t="str">
            <v>CERATO</v>
          </cell>
          <cell r="X187">
            <v>42</v>
          </cell>
        </row>
        <row r="188">
          <cell r="V188" t="str">
            <v>KIA MOTORS</v>
          </cell>
          <cell r="W188" t="str">
            <v>OPTIMA</v>
          </cell>
          <cell r="X188">
            <v>8</v>
          </cell>
        </row>
        <row r="189">
          <cell r="V189" t="str">
            <v>KIA MOTORS</v>
          </cell>
          <cell r="W189" t="str">
            <v>PICANTO</v>
          </cell>
          <cell r="X189">
            <v>24</v>
          </cell>
        </row>
        <row r="190">
          <cell r="V190" t="str">
            <v>KIA MOTORS</v>
          </cell>
          <cell r="W190" t="str">
            <v>SORENTO</v>
          </cell>
          <cell r="X190">
            <v>40</v>
          </cell>
        </row>
        <row r="191">
          <cell r="V191" t="str">
            <v>KIA MOTORS</v>
          </cell>
          <cell r="W191" t="str">
            <v>SOUL</v>
          </cell>
          <cell r="X191">
            <v>48</v>
          </cell>
        </row>
        <row r="192">
          <cell r="V192" t="str">
            <v>KIA MOTORS</v>
          </cell>
          <cell r="W192" t="str">
            <v>SPORTAGE</v>
          </cell>
          <cell r="X192">
            <v>141</v>
          </cell>
        </row>
        <row r="193">
          <cell r="V193" t="str">
            <v>LAMBORGHINI</v>
          </cell>
          <cell r="W193" t="str">
            <v>GALLARDO</v>
          </cell>
          <cell r="X193">
            <v>1</v>
          </cell>
        </row>
        <row r="194">
          <cell r="V194" t="str">
            <v>LAND ROVER</v>
          </cell>
          <cell r="W194" t="str">
            <v>DEFENDER</v>
          </cell>
          <cell r="X194">
            <v>1</v>
          </cell>
        </row>
        <row r="195">
          <cell r="V195" t="str">
            <v>LAND ROVER</v>
          </cell>
          <cell r="W195" t="str">
            <v>DISCOVERY</v>
          </cell>
          <cell r="X195">
            <v>8</v>
          </cell>
        </row>
        <row r="196">
          <cell r="V196" t="str">
            <v>LAND ROVER</v>
          </cell>
          <cell r="W196" t="str">
            <v>DISCOVERY3</v>
          </cell>
          <cell r="X196">
            <v>1</v>
          </cell>
        </row>
        <row r="197">
          <cell r="V197" t="str">
            <v>LAND ROVER</v>
          </cell>
          <cell r="W197" t="str">
            <v>DISCOVERY4</v>
          </cell>
          <cell r="X197">
            <v>9</v>
          </cell>
        </row>
        <row r="198">
          <cell r="V198" t="str">
            <v>LAND ROVER</v>
          </cell>
          <cell r="W198" t="str">
            <v>FREELANDER2</v>
          </cell>
          <cell r="X198">
            <v>22</v>
          </cell>
        </row>
        <row r="199">
          <cell r="V199" t="str">
            <v>LAND ROVER</v>
          </cell>
          <cell r="W199" t="str">
            <v>RANGE</v>
          </cell>
          <cell r="X199">
            <v>110</v>
          </cell>
        </row>
        <row r="200">
          <cell r="V200" t="str">
            <v>LEXUS</v>
          </cell>
          <cell r="W200" t="str">
            <v>CT200H</v>
          </cell>
          <cell r="X200">
            <v>2</v>
          </cell>
        </row>
        <row r="201">
          <cell r="V201" t="str">
            <v>LEXUS</v>
          </cell>
          <cell r="W201" t="str">
            <v>ES-350</v>
          </cell>
          <cell r="X201">
            <v>1</v>
          </cell>
        </row>
        <row r="202">
          <cell r="V202" t="str">
            <v>LEXUS</v>
          </cell>
          <cell r="W202" t="str">
            <v>NX-300</v>
          </cell>
          <cell r="X202">
            <v>1</v>
          </cell>
        </row>
        <row r="203">
          <cell r="V203" t="str">
            <v>LIFAN</v>
          </cell>
          <cell r="W203">
            <v>320</v>
          </cell>
          <cell r="X203">
            <v>1</v>
          </cell>
        </row>
        <row r="204">
          <cell r="V204" t="str">
            <v>LIFAN</v>
          </cell>
          <cell r="W204">
            <v>530</v>
          </cell>
          <cell r="X204">
            <v>5</v>
          </cell>
        </row>
        <row r="205">
          <cell r="V205" t="str">
            <v>LIFAN</v>
          </cell>
          <cell r="W205" t="str">
            <v>X60</v>
          </cell>
          <cell r="X205">
            <v>13</v>
          </cell>
        </row>
        <row r="206">
          <cell r="V206" t="str">
            <v>MERCEDES-BENZ</v>
          </cell>
          <cell r="W206" t="str">
            <v>A</v>
          </cell>
          <cell r="X206">
            <v>5</v>
          </cell>
        </row>
        <row r="207">
          <cell r="V207" t="str">
            <v>MERCEDES-BENZ</v>
          </cell>
          <cell r="W207" t="str">
            <v>C-180</v>
          </cell>
          <cell r="X207">
            <v>23</v>
          </cell>
        </row>
        <row r="208">
          <cell r="V208" t="str">
            <v>MERCEDES-BENZ</v>
          </cell>
          <cell r="W208" t="str">
            <v>C-200</v>
          </cell>
          <cell r="X208">
            <v>15</v>
          </cell>
        </row>
        <row r="209">
          <cell r="V209" t="str">
            <v>MERCEDES-BENZ</v>
          </cell>
          <cell r="W209" t="str">
            <v>C-250</v>
          </cell>
          <cell r="X209">
            <v>6</v>
          </cell>
        </row>
        <row r="210">
          <cell r="V210" t="str">
            <v>MERCEDES-BENZ</v>
          </cell>
          <cell r="W210" t="str">
            <v>C-300</v>
          </cell>
          <cell r="X210">
            <v>1</v>
          </cell>
        </row>
        <row r="211">
          <cell r="V211" t="str">
            <v>MERCEDES-BENZ</v>
          </cell>
          <cell r="W211" t="str">
            <v>CLA-180</v>
          </cell>
          <cell r="X211">
            <v>1</v>
          </cell>
        </row>
        <row r="212">
          <cell r="V212" t="str">
            <v>MERCEDES-BENZ</v>
          </cell>
          <cell r="W212" t="str">
            <v>CLA-200</v>
          </cell>
          <cell r="X212">
            <v>7</v>
          </cell>
        </row>
        <row r="213">
          <cell r="V213" t="str">
            <v>MERCEDES-BENZ</v>
          </cell>
          <cell r="W213" t="str">
            <v>CLA-250</v>
          </cell>
          <cell r="X213">
            <v>4</v>
          </cell>
        </row>
        <row r="214">
          <cell r="V214" t="str">
            <v>MERCEDES-BENZ</v>
          </cell>
          <cell r="W214" t="str">
            <v>CLASSE</v>
          </cell>
          <cell r="X214">
            <v>20</v>
          </cell>
        </row>
        <row r="215">
          <cell r="V215" t="str">
            <v>MERCEDES-BENZ</v>
          </cell>
          <cell r="W215" t="str">
            <v>E-250</v>
          </cell>
          <cell r="X215">
            <v>2</v>
          </cell>
        </row>
        <row r="216">
          <cell r="V216" t="str">
            <v>MERCEDES-BENZ</v>
          </cell>
          <cell r="W216" t="str">
            <v>E-63</v>
          </cell>
          <cell r="X216">
            <v>1</v>
          </cell>
        </row>
        <row r="217">
          <cell r="V217" t="str">
            <v>MERCEDES-BENZ</v>
          </cell>
          <cell r="W217" t="str">
            <v>GL-500</v>
          </cell>
          <cell r="X217">
            <v>1</v>
          </cell>
        </row>
        <row r="218">
          <cell r="V218" t="str">
            <v>MERCEDES-BENZ</v>
          </cell>
          <cell r="W218" t="str">
            <v>GLA</v>
          </cell>
          <cell r="X218">
            <v>26</v>
          </cell>
        </row>
        <row r="219">
          <cell r="V219" t="str">
            <v>MERCEDES-BENZ</v>
          </cell>
          <cell r="W219" t="str">
            <v>GLC</v>
          </cell>
          <cell r="X219">
            <v>3</v>
          </cell>
        </row>
        <row r="220">
          <cell r="V220" t="str">
            <v>MERCEDES-BENZ</v>
          </cell>
          <cell r="W220" t="str">
            <v>GLE-400</v>
          </cell>
          <cell r="X220">
            <v>2</v>
          </cell>
        </row>
        <row r="221">
          <cell r="V221" t="str">
            <v>MERCEDES-BENZ</v>
          </cell>
          <cell r="W221" t="str">
            <v>ML-350</v>
          </cell>
          <cell r="X221">
            <v>1</v>
          </cell>
        </row>
        <row r="222">
          <cell r="V222" t="str">
            <v>MERCEDES-BENZ</v>
          </cell>
          <cell r="W222" t="str">
            <v>ML-63</v>
          </cell>
          <cell r="X222">
            <v>1</v>
          </cell>
        </row>
        <row r="223">
          <cell r="V223" t="str">
            <v>MERCEDES-BENZ</v>
          </cell>
          <cell r="W223" t="str">
            <v>SLK-200</v>
          </cell>
          <cell r="X223">
            <v>2</v>
          </cell>
        </row>
        <row r="224">
          <cell r="V224" t="str">
            <v>MERCEDES-BENZ</v>
          </cell>
          <cell r="W224" t="str">
            <v>SLK-250</v>
          </cell>
          <cell r="X224">
            <v>1</v>
          </cell>
        </row>
        <row r="225">
          <cell r="V225" t="str">
            <v>MERCEDES-BENZ</v>
          </cell>
          <cell r="W225" t="str">
            <v>SPRINTER</v>
          </cell>
          <cell r="X225">
            <v>17</v>
          </cell>
        </row>
        <row r="226">
          <cell r="V226" t="str">
            <v>MINI</v>
          </cell>
          <cell r="W226" t="str">
            <v>COOPER</v>
          </cell>
          <cell r="X226">
            <v>13</v>
          </cell>
        </row>
        <row r="227">
          <cell r="V227" t="str">
            <v>MITSUBISHI</v>
          </cell>
          <cell r="W227" t="str">
            <v>ASX</v>
          </cell>
          <cell r="X227">
            <v>37</v>
          </cell>
        </row>
        <row r="228">
          <cell r="V228" t="str">
            <v>MITSUBISHI</v>
          </cell>
          <cell r="W228" t="str">
            <v>ECLIPSE</v>
          </cell>
          <cell r="X228">
            <v>2</v>
          </cell>
        </row>
        <row r="229">
          <cell r="V229" t="str">
            <v>MITSUBISHI</v>
          </cell>
          <cell r="W229" t="str">
            <v>GRANDIS</v>
          </cell>
          <cell r="X229">
            <v>2</v>
          </cell>
        </row>
        <row r="230">
          <cell r="V230" t="str">
            <v>MITSUBISHI</v>
          </cell>
          <cell r="W230" t="str">
            <v>L200</v>
          </cell>
          <cell r="X230">
            <v>53</v>
          </cell>
        </row>
        <row r="231">
          <cell r="V231" t="str">
            <v>MITSUBISHI</v>
          </cell>
          <cell r="W231" t="str">
            <v>LANCER</v>
          </cell>
          <cell r="X231">
            <v>24</v>
          </cell>
        </row>
        <row r="232">
          <cell r="V232" t="str">
            <v>MITSUBISHI</v>
          </cell>
          <cell r="W232" t="str">
            <v>OUTLANDER</v>
          </cell>
          <cell r="X232">
            <v>26</v>
          </cell>
        </row>
        <row r="233">
          <cell r="V233" t="str">
            <v>MITSUBISHI</v>
          </cell>
          <cell r="W233" t="str">
            <v>PAJERO</v>
          </cell>
          <cell r="X233">
            <v>32</v>
          </cell>
        </row>
        <row r="234">
          <cell r="V234" t="str">
            <v>NISSAN</v>
          </cell>
          <cell r="W234" t="str">
            <v>FRONTIER</v>
          </cell>
          <cell r="X234">
            <v>42</v>
          </cell>
        </row>
        <row r="235">
          <cell r="V235" t="str">
            <v>NISSAN</v>
          </cell>
          <cell r="W235" t="str">
            <v>KICKS</v>
          </cell>
          <cell r="X235">
            <v>44</v>
          </cell>
        </row>
        <row r="236">
          <cell r="V236" t="str">
            <v>NISSAN</v>
          </cell>
          <cell r="W236" t="str">
            <v>LIVINA</v>
          </cell>
          <cell r="X236">
            <v>77</v>
          </cell>
        </row>
        <row r="237">
          <cell r="V237" t="str">
            <v>NISSAN</v>
          </cell>
          <cell r="W237" t="str">
            <v>MARCH</v>
          </cell>
          <cell r="X237">
            <v>101</v>
          </cell>
        </row>
        <row r="238">
          <cell r="V238" t="str">
            <v>NISSAN</v>
          </cell>
          <cell r="W238" t="str">
            <v>NISSAN/LIVINA</v>
          </cell>
          <cell r="X238">
            <v>1</v>
          </cell>
        </row>
        <row r="239">
          <cell r="V239" t="str">
            <v>NISSAN</v>
          </cell>
          <cell r="W239" t="str">
            <v>SENTRA</v>
          </cell>
          <cell r="X239">
            <v>98</v>
          </cell>
        </row>
        <row r="240">
          <cell r="V240" t="str">
            <v>NISSAN</v>
          </cell>
          <cell r="W240" t="str">
            <v>TIIDA</v>
          </cell>
          <cell r="X240">
            <v>69</v>
          </cell>
        </row>
        <row r="241">
          <cell r="V241" t="str">
            <v>NISSAN</v>
          </cell>
          <cell r="W241" t="str">
            <v>VERSA</v>
          </cell>
          <cell r="X241">
            <v>210</v>
          </cell>
        </row>
        <row r="242">
          <cell r="V242" t="str">
            <v>NISSAN</v>
          </cell>
          <cell r="W242" t="str">
            <v>X-TRAIL</v>
          </cell>
          <cell r="X242">
            <v>2</v>
          </cell>
        </row>
        <row r="243">
          <cell r="V243" t="str">
            <v>PEUGEOT</v>
          </cell>
          <cell r="W243">
            <v>2008</v>
          </cell>
          <cell r="X243">
            <v>17</v>
          </cell>
        </row>
        <row r="244">
          <cell r="V244" t="str">
            <v>PEUGEOT</v>
          </cell>
          <cell r="W244">
            <v>206</v>
          </cell>
          <cell r="X244">
            <v>91</v>
          </cell>
        </row>
        <row r="245">
          <cell r="V245" t="str">
            <v>PEUGEOT</v>
          </cell>
          <cell r="W245">
            <v>207</v>
          </cell>
          <cell r="X245">
            <v>467</v>
          </cell>
        </row>
        <row r="246">
          <cell r="V246" t="str">
            <v>PEUGEOT</v>
          </cell>
          <cell r="W246">
            <v>208</v>
          </cell>
          <cell r="X246">
            <v>65</v>
          </cell>
        </row>
        <row r="247">
          <cell r="V247" t="str">
            <v>PEUGEOT</v>
          </cell>
          <cell r="W247">
            <v>3008</v>
          </cell>
          <cell r="X247">
            <v>12</v>
          </cell>
        </row>
        <row r="248">
          <cell r="V248" t="str">
            <v>PEUGEOT</v>
          </cell>
          <cell r="W248">
            <v>307</v>
          </cell>
          <cell r="X248">
            <v>128</v>
          </cell>
        </row>
        <row r="249">
          <cell r="V249" t="str">
            <v>PEUGEOT</v>
          </cell>
          <cell r="W249">
            <v>308</v>
          </cell>
          <cell r="X249">
            <v>44</v>
          </cell>
        </row>
        <row r="250">
          <cell r="V250" t="str">
            <v>PEUGEOT</v>
          </cell>
          <cell r="W250">
            <v>407</v>
          </cell>
          <cell r="X250">
            <v>2</v>
          </cell>
        </row>
        <row r="251">
          <cell r="V251" t="str">
            <v>PEUGEOT</v>
          </cell>
          <cell r="W251">
            <v>408</v>
          </cell>
          <cell r="X251">
            <v>34</v>
          </cell>
        </row>
        <row r="252">
          <cell r="V252" t="str">
            <v>PEUGEOT</v>
          </cell>
          <cell r="W252">
            <v>5008</v>
          </cell>
          <cell r="X252">
            <v>1</v>
          </cell>
        </row>
        <row r="253">
          <cell r="V253" t="str">
            <v>PEUGEOT</v>
          </cell>
          <cell r="W253">
            <v>508</v>
          </cell>
          <cell r="X253">
            <v>1</v>
          </cell>
        </row>
        <row r="254">
          <cell r="V254" t="str">
            <v>PEUGEOT</v>
          </cell>
          <cell r="W254" t="str">
            <v>BOXER</v>
          </cell>
          <cell r="X254">
            <v>2</v>
          </cell>
        </row>
        <row r="255">
          <cell r="V255" t="str">
            <v>PEUGEOT</v>
          </cell>
          <cell r="W255" t="str">
            <v>HOGGAR</v>
          </cell>
          <cell r="X255">
            <v>6</v>
          </cell>
        </row>
        <row r="256">
          <cell r="V256" t="str">
            <v>PEUGEOT</v>
          </cell>
          <cell r="W256" t="str">
            <v>PARTNER</v>
          </cell>
          <cell r="X256">
            <v>10</v>
          </cell>
        </row>
        <row r="257">
          <cell r="V257" t="str">
            <v>PEUGEOT</v>
          </cell>
          <cell r="W257" t="str">
            <v>RCZ</v>
          </cell>
          <cell r="X257">
            <v>1</v>
          </cell>
        </row>
        <row r="258">
          <cell r="V258" t="str">
            <v>PORSCHE</v>
          </cell>
          <cell r="W258" t="str">
            <v>BOXSTER</v>
          </cell>
          <cell r="X258">
            <v>5</v>
          </cell>
        </row>
        <row r="259">
          <cell r="V259" t="str">
            <v>PORSCHE</v>
          </cell>
          <cell r="W259" t="str">
            <v>CAYENNE</v>
          </cell>
          <cell r="X259">
            <v>12</v>
          </cell>
        </row>
        <row r="260">
          <cell r="V260" t="str">
            <v>PORSCHE</v>
          </cell>
          <cell r="W260" t="str">
            <v>CAYMAN</v>
          </cell>
          <cell r="X260">
            <v>1</v>
          </cell>
        </row>
        <row r="261">
          <cell r="V261" t="str">
            <v>PORSCHE</v>
          </cell>
          <cell r="W261" t="str">
            <v>MACAN</v>
          </cell>
          <cell r="X261">
            <v>3</v>
          </cell>
        </row>
        <row r="262">
          <cell r="V262" t="str">
            <v>RAM</v>
          </cell>
          <cell r="W262">
            <v>2500</v>
          </cell>
          <cell r="X262">
            <v>4</v>
          </cell>
        </row>
        <row r="263">
          <cell r="V263" t="str">
            <v>RENAULT</v>
          </cell>
          <cell r="W263" t="str">
            <v>CAPTUR</v>
          </cell>
          <cell r="X263">
            <v>17</v>
          </cell>
        </row>
        <row r="264">
          <cell r="V264" t="str">
            <v>RENAULT</v>
          </cell>
          <cell r="W264" t="str">
            <v>CLIO</v>
          </cell>
          <cell r="X264">
            <v>192</v>
          </cell>
        </row>
        <row r="265">
          <cell r="V265" t="str">
            <v>RENAULT</v>
          </cell>
          <cell r="W265" t="str">
            <v>DUSTER</v>
          </cell>
          <cell r="X265">
            <v>152</v>
          </cell>
        </row>
        <row r="266">
          <cell r="V266" t="str">
            <v>RENAULT</v>
          </cell>
          <cell r="W266" t="str">
            <v>FLUENCE</v>
          </cell>
          <cell r="X266">
            <v>52</v>
          </cell>
        </row>
        <row r="267">
          <cell r="V267" t="str">
            <v>RENAULT</v>
          </cell>
          <cell r="W267" t="str">
            <v>KANGOO</v>
          </cell>
          <cell r="X267">
            <v>28</v>
          </cell>
        </row>
        <row r="268">
          <cell r="V268" t="str">
            <v>RENAULT</v>
          </cell>
          <cell r="W268" t="str">
            <v>KWID</v>
          </cell>
          <cell r="X268">
            <v>111</v>
          </cell>
        </row>
        <row r="269">
          <cell r="V269" t="str">
            <v>RENAULT</v>
          </cell>
          <cell r="W269" t="str">
            <v>LOGAN</v>
          </cell>
          <cell r="X269">
            <v>639</v>
          </cell>
        </row>
        <row r="270">
          <cell r="V270" t="str">
            <v>RENAULT</v>
          </cell>
          <cell r="W270" t="str">
            <v>MASTER</v>
          </cell>
          <cell r="X270">
            <v>33</v>
          </cell>
        </row>
        <row r="271">
          <cell r="V271" t="str">
            <v>RENAULT</v>
          </cell>
          <cell r="W271" t="str">
            <v>MEGANE</v>
          </cell>
          <cell r="X271">
            <v>92</v>
          </cell>
        </row>
        <row r="272">
          <cell r="V272" t="str">
            <v>RENAULT</v>
          </cell>
          <cell r="W272" t="str">
            <v>RENAULT/SANDERO</v>
          </cell>
          <cell r="X272">
            <v>1</v>
          </cell>
        </row>
        <row r="273">
          <cell r="V273" t="str">
            <v>RENAULT</v>
          </cell>
          <cell r="W273" t="str">
            <v>SANDERO</v>
          </cell>
          <cell r="X273">
            <v>1039</v>
          </cell>
        </row>
        <row r="274">
          <cell r="V274" t="str">
            <v>RENAULT</v>
          </cell>
          <cell r="W274" t="str">
            <v>SCÉNIC</v>
          </cell>
          <cell r="X274">
            <v>11</v>
          </cell>
        </row>
        <row r="275">
          <cell r="V275" t="str">
            <v>RENAULT</v>
          </cell>
          <cell r="W275" t="str">
            <v>STEPWAY</v>
          </cell>
          <cell r="X275">
            <v>2</v>
          </cell>
        </row>
        <row r="276">
          <cell r="V276" t="str">
            <v>RENAULT</v>
          </cell>
          <cell r="W276" t="str">
            <v>SYMBOL</v>
          </cell>
          <cell r="X276">
            <v>39</v>
          </cell>
        </row>
        <row r="277">
          <cell r="V277" t="str">
            <v>SMART</v>
          </cell>
          <cell r="W277" t="str">
            <v>FORTWO</v>
          </cell>
          <cell r="X277">
            <v>2</v>
          </cell>
        </row>
        <row r="278">
          <cell r="V278" t="str">
            <v>SSANGYONG</v>
          </cell>
          <cell r="W278" t="str">
            <v>ACTYON</v>
          </cell>
          <cell r="X278">
            <v>3</v>
          </cell>
        </row>
        <row r="279">
          <cell r="V279" t="str">
            <v>SSANGYONG</v>
          </cell>
          <cell r="W279" t="str">
            <v>KYRON</v>
          </cell>
          <cell r="X279">
            <v>4</v>
          </cell>
        </row>
        <row r="280">
          <cell r="V280" t="str">
            <v>SUBARU</v>
          </cell>
          <cell r="W280" t="str">
            <v>IMPREZA</v>
          </cell>
          <cell r="X280">
            <v>5</v>
          </cell>
        </row>
        <row r="281">
          <cell r="V281" t="str">
            <v>SUZUKI</v>
          </cell>
          <cell r="W281" t="str">
            <v>GRAND</v>
          </cell>
          <cell r="X281">
            <v>8</v>
          </cell>
        </row>
        <row r="282">
          <cell r="V282" t="str">
            <v>SUZUKI</v>
          </cell>
          <cell r="W282" t="str">
            <v>SX4</v>
          </cell>
          <cell r="X282">
            <v>4</v>
          </cell>
        </row>
        <row r="283">
          <cell r="V283" t="str">
            <v>TOYOTA</v>
          </cell>
          <cell r="W283" t="str">
            <v>CAMRY</v>
          </cell>
          <cell r="X283">
            <v>3</v>
          </cell>
        </row>
        <row r="284">
          <cell r="V284" t="str">
            <v>TOYOTA</v>
          </cell>
          <cell r="W284" t="str">
            <v>COROLLA</v>
          </cell>
          <cell r="X284">
            <v>303</v>
          </cell>
        </row>
        <row r="285">
          <cell r="V285" t="str">
            <v>TOYOTA</v>
          </cell>
          <cell r="W285" t="str">
            <v>ETIOS</v>
          </cell>
          <cell r="X285">
            <v>146</v>
          </cell>
        </row>
        <row r="286">
          <cell r="V286" t="str">
            <v>TOYOTA</v>
          </cell>
          <cell r="W286" t="str">
            <v>HILUX</v>
          </cell>
          <cell r="X286">
            <v>113</v>
          </cell>
        </row>
        <row r="287">
          <cell r="V287" t="str">
            <v>TOYOTA</v>
          </cell>
          <cell r="W287" t="str">
            <v>PRIUS</v>
          </cell>
          <cell r="X287">
            <v>2</v>
          </cell>
        </row>
        <row r="288">
          <cell r="V288" t="str">
            <v>TOYOTA</v>
          </cell>
          <cell r="W288" t="str">
            <v>RAV4</v>
          </cell>
          <cell r="X288">
            <v>8</v>
          </cell>
        </row>
        <row r="289">
          <cell r="V289" t="str">
            <v>TOYOTA</v>
          </cell>
          <cell r="W289" t="str">
            <v>YARIS</v>
          </cell>
          <cell r="X289">
            <v>5</v>
          </cell>
        </row>
        <row r="290">
          <cell r="V290" t="str">
            <v>TROLLER</v>
          </cell>
          <cell r="W290" t="str">
            <v>T-4</v>
          </cell>
          <cell r="X290">
            <v>4</v>
          </cell>
        </row>
        <row r="291">
          <cell r="V291" t="str">
            <v>VOLKSWAGEN</v>
          </cell>
          <cell r="W291">
            <v>0</v>
          </cell>
          <cell r="X291">
            <v>1</v>
          </cell>
        </row>
        <row r="292">
          <cell r="V292" t="str">
            <v>VOLKSWAGEN</v>
          </cell>
          <cell r="W292" t="str">
            <v>AMAROK</v>
          </cell>
          <cell r="X292">
            <v>84</v>
          </cell>
        </row>
        <row r="293">
          <cell r="V293" t="str">
            <v>VOLKSWAGEN</v>
          </cell>
          <cell r="W293" t="str">
            <v>BORA</v>
          </cell>
          <cell r="X293">
            <v>14</v>
          </cell>
        </row>
        <row r="294">
          <cell r="V294" t="str">
            <v>VOLKSWAGEN</v>
          </cell>
          <cell r="W294" t="str">
            <v>CROSSFOX</v>
          </cell>
          <cell r="X294">
            <v>76</v>
          </cell>
        </row>
        <row r="295">
          <cell r="V295" t="str">
            <v>VOLKSWAGEN</v>
          </cell>
          <cell r="W295" t="str">
            <v>FOX</v>
          </cell>
          <cell r="X295">
            <v>983</v>
          </cell>
        </row>
        <row r="296">
          <cell r="V296" t="str">
            <v>VOLKSWAGEN</v>
          </cell>
          <cell r="W296" t="str">
            <v>FUSCA</v>
          </cell>
          <cell r="X296">
            <v>7</v>
          </cell>
        </row>
        <row r="297">
          <cell r="V297" t="str">
            <v>VOLKSWAGEN</v>
          </cell>
          <cell r="W297" t="str">
            <v>GOL</v>
          </cell>
          <cell r="X297">
            <v>1547</v>
          </cell>
        </row>
        <row r="298">
          <cell r="V298" t="str">
            <v>VOLKSWAGEN</v>
          </cell>
          <cell r="W298" t="str">
            <v>GOLF</v>
          </cell>
          <cell r="X298">
            <v>186</v>
          </cell>
        </row>
        <row r="299">
          <cell r="V299" t="str">
            <v>VOLKSWAGEN</v>
          </cell>
          <cell r="W299" t="str">
            <v>JETTA</v>
          </cell>
          <cell r="X299">
            <v>189</v>
          </cell>
        </row>
        <row r="300">
          <cell r="V300" t="str">
            <v>VOLKSWAGEN</v>
          </cell>
          <cell r="W300" t="str">
            <v>KOMBI</v>
          </cell>
          <cell r="X300">
            <v>42</v>
          </cell>
        </row>
        <row r="301">
          <cell r="V301" t="str">
            <v>VOLKSWAGEN</v>
          </cell>
          <cell r="W301" t="str">
            <v>NEW</v>
          </cell>
          <cell r="X301">
            <v>18</v>
          </cell>
        </row>
        <row r="302">
          <cell r="V302" t="str">
            <v>VOLKSWAGEN</v>
          </cell>
          <cell r="W302" t="str">
            <v>NIVUS</v>
          </cell>
          <cell r="X302">
            <v>16</v>
          </cell>
        </row>
        <row r="303">
          <cell r="V303" t="str">
            <v>VOLKSWAGEN</v>
          </cell>
          <cell r="W303" t="str">
            <v>PARATI</v>
          </cell>
          <cell r="X303">
            <v>35</v>
          </cell>
        </row>
        <row r="304">
          <cell r="V304" t="str">
            <v>VOLKSWAGEN</v>
          </cell>
          <cell r="W304" t="str">
            <v>PASSAT</v>
          </cell>
          <cell r="X304">
            <v>15</v>
          </cell>
        </row>
        <row r="305">
          <cell r="V305" t="str">
            <v>VOLKSWAGEN</v>
          </cell>
          <cell r="W305" t="str">
            <v>POLO</v>
          </cell>
          <cell r="X305">
            <v>227</v>
          </cell>
        </row>
        <row r="306">
          <cell r="V306" t="str">
            <v>VOLKSWAGEN</v>
          </cell>
          <cell r="W306" t="str">
            <v>SAVEIRO</v>
          </cell>
          <cell r="X306">
            <v>280</v>
          </cell>
        </row>
        <row r="307">
          <cell r="V307" t="str">
            <v>VOLKSWAGEN</v>
          </cell>
          <cell r="W307" t="str">
            <v>SPACECROSS</v>
          </cell>
          <cell r="X307">
            <v>7</v>
          </cell>
        </row>
        <row r="308">
          <cell r="V308" t="str">
            <v>VOLKSWAGEN</v>
          </cell>
          <cell r="W308" t="str">
            <v>SPACEFOX</v>
          </cell>
          <cell r="X308">
            <v>153</v>
          </cell>
        </row>
        <row r="309">
          <cell r="V309" t="str">
            <v>VOLKSWAGEN</v>
          </cell>
          <cell r="W309" t="str">
            <v>T-CROSS</v>
          </cell>
          <cell r="X309">
            <v>18</v>
          </cell>
        </row>
        <row r="310">
          <cell r="V310" t="str">
            <v>VOLKSWAGEN</v>
          </cell>
          <cell r="W310" t="str">
            <v>TIGUAN</v>
          </cell>
          <cell r="X310">
            <v>62</v>
          </cell>
        </row>
        <row r="311">
          <cell r="V311" t="str">
            <v>VOLKSWAGEN</v>
          </cell>
          <cell r="W311" t="str">
            <v>TOUAREG</v>
          </cell>
          <cell r="X311">
            <v>2</v>
          </cell>
        </row>
        <row r="312">
          <cell r="V312" t="str">
            <v>VOLKSWAGEN</v>
          </cell>
          <cell r="W312" t="str">
            <v>UP!</v>
          </cell>
          <cell r="X312">
            <v>150</v>
          </cell>
        </row>
        <row r="313">
          <cell r="V313" t="str">
            <v>VOLKSWAGEN</v>
          </cell>
          <cell r="W313" t="str">
            <v>VIRTUS</v>
          </cell>
          <cell r="X313">
            <v>50</v>
          </cell>
        </row>
        <row r="314">
          <cell r="V314" t="str">
            <v>VOLKSWAGEN</v>
          </cell>
          <cell r="W314" t="str">
            <v>VOYAGE</v>
          </cell>
          <cell r="X314">
            <v>637</v>
          </cell>
        </row>
        <row r="315">
          <cell r="V315" t="str">
            <v>VOLKSWAGEN</v>
          </cell>
          <cell r="W315" t="str">
            <v>VW/FOX</v>
          </cell>
          <cell r="X315">
            <v>1</v>
          </cell>
        </row>
        <row r="316">
          <cell r="V316" t="str">
            <v>VOLKSWAGEN</v>
          </cell>
          <cell r="W316" t="str">
            <v>VW/NOVO</v>
          </cell>
          <cell r="X316">
            <v>1</v>
          </cell>
        </row>
        <row r="317">
          <cell r="V317" t="str">
            <v>VOLVO</v>
          </cell>
          <cell r="W317" t="str">
            <v>C30</v>
          </cell>
          <cell r="X317">
            <v>1</v>
          </cell>
        </row>
        <row r="318">
          <cell r="V318" t="str">
            <v>VOLVO</v>
          </cell>
          <cell r="W318" t="str">
            <v>S60</v>
          </cell>
          <cell r="X318">
            <v>7</v>
          </cell>
        </row>
        <row r="319">
          <cell r="V319" t="str">
            <v>VOLVO</v>
          </cell>
          <cell r="W319" t="str">
            <v>V40</v>
          </cell>
          <cell r="X319">
            <v>5</v>
          </cell>
        </row>
        <row r="320">
          <cell r="V320" t="str">
            <v>VOLVO</v>
          </cell>
          <cell r="W320" t="str">
            <v>V60</v>
          </cell>
          <cell r="X320">
            <v>2</v>
          </cell>
        </row>
        <row r="321">
          <cell r="V321" t="str">
            <v>VOLVO</v>
          </cell>
          <cell r="W321" t="str">
            <v>XC</v>
          </cell>
          <cell r="X321">
            <v>32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D8C35-C701-407F-9017-8C3D76FF4F82}">
  <sheetPr codeName="Planilha1">
    <tabColor theme="1" tint="0.499984740745262"/>
  </sheetPr>
  <dimension ref="A1"/>
  <sheetViews>
    <sheetView showGridLines="0" showRowColHeaders="0" tabSelected="1" zoomScale="80" zoomScaleNormal="80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65AF7-72D3-4D63-9EBD-7D38921FEBD7}">
  <sheetPr codeName="Planilha6">
    <tabColor rgb="FFBFBFBF"/>
  </sheetPr>
  <dimension ref="F59:F64"/>
  <sheetViews>
    <sheetView showGridLines="0" showRowColHeaders="0" zoomScale="80" zoomScaleNormal="80" workbookViewId="0">
      <selection activeCell="F59" sqref="F59:F64"/>
    </sheetView>
  </sheetViews>
  <sheetFormatPr defaultRowHeight="14.4" x14ac:dyDescent="0.3"/>
  <sheetData>
    <row r="59" spans="6:6" x14ac:dyDescent="0.3">
      <c r="F59" s="13" t="s">
        <v>419</v>
      </c>
    </row>
    <row r="60" spans="6:6" x14ac:dyDescent="0.3">
      <c r="F60" s="13" t="s">
        <v>420</v>
      </c>
    </row>
    <row r="61" spans="6:6" x14ac:dyDescent="0.3">
      <c r="F61" s="13" t="s">
        <v>421</v>
      </c>
    </row>
    <row r="62" spans="6:6" x14ac:dyDescent="0.3">
      <c r="F62" s="13" t="s">
        <v>422</v>
      </c>
    </row>
    <row r="63" spans="6:6" x14ac:dyDescent="0.3">
      <c r="F63" s="13" t="s">
        <v>423</v>
      </c>
    </row>
    <row r="64" spans="6:6" x14ac:dyDescent="0.3">
      <c r="F64" s="13" t="s">
        <v>424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2F22-2A99-4596-8E95-DC3DA04C550C}">
  <sheetPr codeName="Planilha4">
    <tabColor rgb="FFFFBE00"/>
  </sheetPr>
  <dimension ref="B2:X408"/>
  <sheetViews>
    <sheetView showGridLines="0" zoomScale="85" zoomScaleNormal="85" workbookViewId="0">
      <selection activeCell="I13" sqref="I13"/>
    </sheetView>
  </sheetViews>
  <sheetFormatPr defaultRowHeight="14.4" x14ac:dyDescent="0.3"/>
  <cols>
    <col min="2" max="2" width="12" customWidth="1"/>
    <col min="3" max="4" width="10.6640625" customWidth="1"/>
    <col min="5" max="5" width="15.6640625" bestFit="1" customWidth="1"/>
    <col min="6" max="6" width="13.44140625" bestFit="1" customWidth="1"/>
    <col min="7" max="7" width="18.44140625" bestFit="1" customWidth="1"/>
    <col min="8" max="8" width="7.6640625" customWidth="1"/>
    <col min="9" max="9" width="10.6640625" customWidth="1"/>
    <col min="10" max="10" width="17.44140625" bestFit="1" customWidth="1"/>
    <col min="11" max="11" width="10.6640625" customWidth="1"/>
    <col min="12" max="12" width="7.6640625" customWidth="1"/>
    <col min="13" max="14" width="10.6640625" customWidth="1"/>
    <col min="16" max="16" width="36" bestFit="1" customWidth="1"/>
    <col min="17" max="17" width="10.6640625" customWidth="1"/>
    <col min="19" max="21" width="10.6640625" customWidth="1"/>
  </cols>
  <sheetData>
    <row r="2" spans="2:21" x14ac:dyDescent="0.3">
      <c r="B2" s="9" t="s">
        <v>13</v>
      </c>
      <c r="I2" s="9" t="s">
        <v>14</v>
      </c>
      <c r="M2" s="9" t="s">
        <v>15</v>
      </c>
      <c r="P2" s="9" t="s">
        <v>16</v>
      </c>
      <c r="S2" s="9" t="s">
        <v>17</v>
      </c>
    </row>
    <row r="3" spans="2:21" x14ac:dyDescent="0.3">
      <c r="B3" s="6" t="s">
        <v>0</v>
      </c>
      <c r="C3" s="1" t="s">
        <v>1</v>
      </c>
      <c r="D3" s="1" t="s">
        <v>2</v>
      </c>
      <c r="E3" s="5" t="s">
        <v>3</v>
      </c>
      <c r="F3" s="2" t="s">
        <v>4</v>
      </c>
      <c r="G3" s="4" t="s">
        <v>5</v>
      </c>
      <c r="I3" s="1" t="s">
        <v>7</v>
      </c>
      <c r="J3" s="1" t="s">
        <v>6</v>
      </c>
      <c r="K3" s="1" t="s">
        <v>2</v>
      </c>
      <c r="M3" s="1" t="s">
        <v>8</v>
      </c>
      <c r="N3" s="1" t="s">
        <v>2</v>
      </c>
      <c r="P3" s="1" t="s">
        <v>9</v>
      </c>
      <c r="Q3" s="1" t="s">
        <v>2</v>
      </c>
      <c r="S3" s="1" t="s">
        <v>10</v>
      </c>
      <c r="T3" s="1" t="s">
        <v>11</v>
      </c>
      <c r="U3" s="1" t="s">
        <v>12</v>
      </c>
    </row>
    <row r="4" spans="2:21" x14ac:dyDescent="0.3">
      <c r="B4" s="6">
        <v>44075</v>
      </c>
      <c r="C4" s="5">
        <v>26</v>
      </c>
      <c r="D4" s="5">
        <v>5</v>
      </c>
      <c r="E4" s="5">
        <v>259</v>
      </c>
      <c r="F4" s="10">
        <v>0.19</v>
      </c>
      <c r="G4" s="4">
        <v>51.857999999999997</v>
      </c>
      <c r="I4" s="1" t="s">
        <v>18</v>
      </c>
      <c r="J4" s="1" t="s">
        <v>19</v>
      </c>
      <c r="K4" s="1">
        <v>734</v>
      </c>
      <c r="M4" s="1" t="s">
        <v>24</v>
      </c>
      <c r="N4" s="1">
        <v>248</v>
      </c>
      <c r="P4" s="1" t="s">
        <v>29</v>
      </c>
      <c r="Q4" s="1">
        <v>18</v>
      </c>
      <c r="S4" s="1">
        <v>0</v>
      </c>
      <c r="T4" s="1" t="s">
        <v>34</v>
      </c>
      <c r="U4" s="1">
        <v>67</v>
      </c>
    </row>
    <row r="5" spans="2:21" x14ac:dyDescent="0.3">
      <c r="B5" s="6">
        <v>44105</v>
      </c>
      <c r="C5" s="5">
        <v>931</v>
      </c>
      <c r="D5" s="5">
        <v>35</v>
      </c>
      <c r="E5" s="5">
        <v>1676</v>
      </c>
      <c r="F5" s="10">
        <v>0.04</v>
      </c>
      <c r="G5" s="4">
        <v>47.898767142857103</v>
      </c>
      <c r="I5" s="1" t="s">
        <v>18</v>
      </c>
      <c r="J5" s="1" t="s">
        <v>20</v>
      </c>
      <c r="K5" s="1">
        <v>142</v>
      </c>
      <c r="M5" s="1" t="s">
        <v>25</v>
      </c>
      <c r="N5" s="1">
        <v>237</v>
      </c>
      <c r="P5" s="1" t="s">
        <v>30</v>
      </c>
      <c r="Q5" s="1">
        <v>15</v>
      </c>
      <c r="S5" s="1">
        <v>1</v>
      </c>
      <c r="T5" s="1" t="s">
        <v>35</v>
      </c>
      <c r="U5" s="1">
        <v>1301</v>
      </c>
    </row>
    <row r="6" spans="2:21" x14ac:dyDescent="0.3">
      <c r="B6" s="6">
        <v>44136</v>
      </c>
      <c r="C6" s="5">
        <v>1207</v>
      </c>
      <c r="D6" s="5">
        <v>44</v>
      </c>
      <c r="E6" s="11">
        <v>2279</v>
      </c>
      <c r="F6" s="10">
        <v>0.04</v>
      </c>
      <c r="G6" s="4">
        <v>51.784261363636297</v>
      </c>
      <c r="I6" s="1" t="s">
        <v>18</v>
      </c>
      <c r="J6" s="1" t="s">
        <v>21</v>
      </c>
      <c r="K6" s="1">
        <v>110</v>
      </c>
      <c r="M6" s="1" t="s">
        <v>26</v>
      </c>
      <c r="N6" s="1">
        <v>193</v>
      </c>
      <c r="P6" s="1" t="s">
        <v>31</v>
      </c>
      <c r="Q6" s="1">
        <v>10</v>
      </c>
      <c r="S6" s="1">
        <v>2</v>
      </c>
      <c r="T6" s="1" t="s">
        <v>36</v>
      </c>
      <c r="U6" s="1">
        <v>1238</v>
      </c>
    </row>
    <row r="7" spans="2:21" x14ac:dyDescent="0.3">
      <c r="B7" s="6">
        <v>44166</v>
      </c>
      <c r="C7" s="5">
        <v>1008</v>
      </c>
      <c r="D7" s="5">
        <v>33</v>
      </c>
      <c r="E7" s="5">
        <v>2603</v>
      </c>
      <c r="F7" s="10">
        <v>0.03</v>
      </c>
      <c r="G7" s="4">
        <v>78.871778484848406</v>
      </c>
      <c r="I7" s="1" t="s">
        <v>18</v>
      </c>
      <c r="J7" s="1" t="s">
        <v>23</v>
      </c>
      <c r="K7" s="1">
        <v>98</v>
      </c>
      <c r="M7" s="1" t="s">
        <v>27</v>
      </c>
      <c r="N7" s="1">
        <v>136</v>
      </c>
      <c r="P7" s="1" t="s">
        <v>32</v>
      </c>
      <c r="Q7" s="1">
        <v>10</v>
      </c>
      <c r="S7" s="1">
        <v>3</v>
      </c>
      <c r="T7" s="1" t="s">
        <v>37</v>
      </c>
      <c r="U7" s="1">
        <v>1038</v>
      </c>
    </row>
    <row r="8" spans="2:21" x14ac:dyDescent="0.3">
      <c r="B8" s="6">
        <v>44197</v>
      </c>
      <c r="C8" s="5">
        <v>1058</v>
      </c>
      <c r="D8" s="5">
        <v>32</v>
      </c>
      <c r="E8" s="5">
        <v>2297</v>
      </c>
      <c r="F8" s="10">
        <v>0.03</v>
      </c>
      <c r="G8" s="4">
        <v>71.788251562499994</v>
      </c>
      <c r="I8" s="1" t="s">
        <v>18</v>
      </c>
      <c r="J8" s="1" t="s">
        <v>22</v>
      </c>
      <c r="K8" s="1">
        <v>66</v>
      </c>
      <c r="M8" s="1" t="s">
        <v>28</v>
      </c>
      <c r="N8" s="1">
        <v>108</v>
      </c>
      <c r="P8" s="1" t="s">
        <v>33</v>
      </c>
      <c r="Q8" s="1">
        <v>10</v>
      </c>
      <c r="S8" s="1">
        <v>4</v>
      </c>
      <c r="T8" s="1" t="s">
        <v>38</v>
      </c>
      <c r="U8" s="1">
        <v>1076</v>
      </c>
    </row>
    <row r="9" spans="2:21" x14ac:dyDescent="0.3">
      <c r="B9" s="6">
        <v>44228</v>
      </c>
      <c r="C9" s="5">
        <v>1300</v>
      </c>
      <c r="D9" s="5">
        <v>68</v>
      </c>
      <c r="E9" s="5">
        <v>3631</v>
      </c>
      <c r="F9" s="10">
        <v>0.05</v>
      </c>
      <c r="G9" s="4">
        <v>53.398469117646997</v>
      </c>
      <c r="S9" s="1">
        <v>5</v>
      </c>
      <c r="T9" s="1" t="s">
        <v>39</v>
      </c>
      <c r="U9" s="1">
        <v>956</v>
      </c>
    </row>
    <row r="10" spans="2:21" x14ac:dyDescent="0.3">
      <c r="B10" s="6">
        <v>44256</v>
      </c>
      <c r="C10" s="5">
        <v>1932</v>
      </c>
      <c r="D10" s="5">
        <v>119</v>
      </c>
      <c r="E10" s="5">
        <v>7911</v>
      </c>
      <c r="F10" s="10">
        <v>0.06</v>
      </c>
      <c r="G10" s="4">
        <v>66.480609075630198</v>
      </c>
      <c r="S10" s="1">
        <v>6</v>
      </c>
      <c r="T10" s="1" t="s">
        <v>40</v>
      </c>
      <c r="U10" s="1">
        <v>677</v>
      </c>
    </row>
    <row r="11" spans="2:21" x14ac:dyDescent="0.3">
      <c r="B11" s="6">
        <v>44287</v>
      </c>
      <c r="C11" s="5">
        <v>2376</v>
      </c>
      <c r="D11" s="5">
        <v>142</v>
      </c>
      <c r="E11" s="5">
        <v>7478</v>
      </c>
      <c r="F11" s="10">
        <v>0.06</v>
      </c>
      <c r="G11" s="4">
        <v>52.658844507042197</v>
      </c>
    </row>
    <row r="12" spans="2:21" x14ac:dyDescent="0.3">
      <c r="B12" s="6">
        <v>44317</v>
      </c>
      <c r="C12" s="5">
        <v>3819</v>
      </c>
      <c r="D12" s="5">
        <v>394</v>
      </c>
      <c r="E12" s="5">
        <v>21508</v>
      </c>
      <c r="F12" s="10">
        <v>0.1</v>
      </c>
      <c r="G12" s="4">
        <v>54.590041827411099</v>
      </c>
    </row>
    <row r="13" spans="2:21" x14ac:dyDescent="0.3">
      <c r="B13" s="6">
        <v>44348</v>
      </c>
      <c r="C13" s="5">
        <v>4440</v>
      </c>
      <c r="D13" s="5">
        <v>589</v>
      </c>
      <c r="E13" s="5">
        <v>33179</v>
      </c>
      <c r="F13" s="10">
        <v>0.13</v>
      </c>
      <c r="G13" s="4">
        <v>56.331488353140898</v>
      </c>
    </row>
    <row r="14" spans="2:21" x14ac:dyDescent="0.3">
      <c r="B14" s="6">
        <v>44378</v>
      </c>
      <c r="C14" s="5">
        <v>6130</v>
      </c>
      <c r="D14" s="5">
        <v>1073</v>
      </c>
      <c r="E14" s="5">
        <v>58988</v>
      </c>
      <c r="F14" s="10">
        <v>0.18</v>
      </c>
      <c r="G14" s="4">
        <v>54.974637921714802</v>
      </c>
    </row>
    <row r="15" spans="2:21" x14ac:dyDescent="0.3">
      <c r="B15" s="6">
        <v>44409</v>
      </c>
      <c r="C15" s="5">
        <v>6353</v>
      </c>
      <c r="D15" s="5">
        <v>1254</v>
      </c>
      <c r="E15" s="5">
        <v>68274</v>
      </c>
      <c r="F15" s="10">
        <v>0.2</v>
      </c>
      <c r="G15" s="4">
        <v>54.445048030302999</v>
      </c>
    </row>
    <row r="17" spans="3:14" x14ac:dyDescent="0.3">
      <c r="E17" s="12"/>
    </row>
    <row r="29" spans="3:14" x14ac:dyDescent="0.3">
      <c r="C29" s="7">
        <v>44075</v>
      </c>
      <c r="D29" s="7">
        <f>EDATE(C29,1)</f>
        <v>44105</v>
      </c>
      <c r="E29" s="7">
        <f t="shared" ref="E29:L29" si="0">EDATE(D29,1)</f>
        <v>44136</v>
      </c>
      <c r="F29" s="7">
        <f t="shared" si="0"/>
        <v>44166</v>
      </c>
      <c r="G29" s="7">
        <f t="shared" si="0"/>
        <v>44197</v>
      </c>
      <c r="H29" s="7">
        <f t="shared" si="0"/>
        <v>44228</v>
      </c>
      <c r="I29" s="7">
        <f t="shared" si="0"/>
        <v>44256</v>
      </c>
      <c r="J29" s="7">
        <f t="shared" si="0"/>
        <v>44287</v>
      </c>
      <c r="K29" s="7">
        <f t="shared" si="0"/>
        <v>44317</v>
      </c>
      <c r="L29" s="7">
        <f t="shared" si="0"/>
        <v>44348</v>
      </c>
      <c r="M29" s="7">
        <f>EDATE(L29,1)</f>
        <v>44378</v>
      </c>
      <c r="N29" s="7">
        <f>EDATE(M29,1)</f>
        <v>44409</v>
      </c>
    </row>
    <row r="30" spans="3:14" x14ac:dyDescent="0.3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</row>
    <row r="89" spans="2:24" x14ac:dyDescent="0.3">
      <c r="B89" s="9" t="s">
        <v>43</v>
      </c>
      <c r="E89" s="9" t="s">
        <v>44</v>
      </c>
      <c r="H89" s="9" t="s">
        <v>45</v>
      </c>
      <c r="J89" s="3"/>
      <c r="K89" s="9" t="s">
        <v>46</v>
      </c>
      <c r="O89" s="9" t="s">
        <v>47</v>
      </c>
      <c r="R89" s="9" t="s">
        <v>48</v>
      </c>
      <c r="V89" s="9" t="s">
        <v>87</v>
      </c>
    </row>
    <row r="90" spans="2:24" x14ac:dyDescent="0.3">
      <c r="B90" s="6" t="s">
        <v>49</v>
      </c>
      <c r="C90" s="1" t="s">
        <v>1</v>
      </c>
      <c r="E90" s="1" t="s">
        <v>50</v>
      </c>
      <c r="F90" s="10" t="s">
        <v>51</v>
      </c>
      <c r="H90" s="1" t="s">
        <v>52</v>
      </c>
      <c r="I90" s="10" t="s">
        <v>51</v>
      </c>
      <c r="K90" s="1" t="s">
        <v>53</v>
      </c>
      <c r="L90" s="10" t="s">
        <v>51</v>
      </c>
      <c r="M90" s="1" t="s">
        <v>54</v>
      </c>
      <c r="O90" s="1" t="s">
        <v>55</v>
      </c>
      <c r="P90" s="1" t="s">
        <v>56</v>
      </c>
      <c r="R90" s="1" t="s">
        <v>57</v>
      </c>
      <c r="S90" s="1" t="s">
        <v>58</v>
      </c>
      <c r="T90" s="1" t="s">
        <v>54</v>
      </c>
      <c r="V90" s="1" t="s">
        <v>88</v>
      </c>
      <c r="W90" s="1" t="s">
        <v>89</v>
      </c>
      <c r="X90" s="1" t="s">
        <v>12</v>
      </c>
    </row>
    <row r="91" spans="2:24" x14ac:dyDescent="0.3">
      <c r="B91" s="6" t="s">
        <v>59</v>
      </c>
      <c r="C91" s="5">
        <v>15106</v>
      </c>
      <c r="E91" s="1" t="s">
        <v>60</v>
      </c>
      <c r="F91" s="10">
        <v>3.9826357083117599E-5</v>
      </c>
      <c r="H91" s="1" t="s">
        <v>61</v>
      </c>
      <c r="I91" s="10">
        <v>0.42709785335935302</v>
      </c>
      <c r="K91" s="1" t="s">
        <v>62</v>
      </c>
      <c r="L91" s="10">
        <v>1.6010195547413199E-2</v>
      </c>
      <c r="M91" s="1">
        <v>5</v>
      </c>
      <c r="O91" s="1" t="s">
        <v>63</v>
      </c>
      <c r="P91" s="1">
        <v>1162</v>
      </c>
      <c r="R91" s="1" t="s">
        <v>64</v>
      </c>
      <c r="S91" s="2">
        <v>3.7998691955526402E-2</v>
      </c>
      <c r="T91" s="1">
        <v>1</v>
      </c>
      <c r="V91" s="1" t="s">
        <v>90</v>
      </c>
      <c r="W91" s="1" t="s">
        <v>91</v>
      </c>
      <c r="X91" s="1">
        <v>18</v>
      </c>
    </row>
    <row r="92" spans="2:24" x14ac:dyDescent="0.3">
      <c r="B92" s="6" t="s">
        <v>65</v>
      </c>
      <c r="C92" s="5">
        <v>10003</v>
      </c>
      <c r="E92" s="1" t="s">
        <v>66</v>
      </c>
      <c r="F92" s="10">
        <v>1.7085507188657399E-2</v>
      </c>
      <c r="H92" s="1" t="s">
        <v>67</v>
      </c>
      <c r="I92" s="10">
        <v>0.333346608785694</v>
      </c>
      <c r="K92" s="1" t="s">
        <v>68</v>
      </c>
      <c r="L92" s="10">
        <v>1.7722728901987301E-2</v>
      </c>
      <c r="M92" s="1">
        <v>4</v>
      </c>
      <c r="O92" s="1" t="s">
        <v>69</v>
      </c>
      <c r="P92" s="1">
        <v>29418</v>
      </c>
      <c r="R92" s="1" t="s">
        <v>70</v>
      </c>
      <c r="S92" s="2">
        <v>0.10775016350555899</v>
      </c>
      <c r="T92" s="1">
        <v>2</v>
      </c>
      <c r="V92" s="1" t="s">
        <v>90</v>
      </c>
      <c r="W92" s="1" t="s">
        <v>92</v>
      </c>
      <c r="X92" s="1">
        <v>32</v>
      </c>
    </row>
    <row r="93" spans="2:24" x14ac:dyDescent="0.3">
      <c r="E93" s="1" t="s">
        <v>71</v>
      </c>
      <c r="F93" s="10">
        <v>4.2614202078935799E-2</v>
      </c>
      <c r="H93" s="1" t="s">
        <v>72</v>
      </c>
      <c r="I93" s="10">
        <v>0.20546417619180299</v>
      </c>
      <c r="K93" s="1" t="s">
        <v>73</v>
      </c>
      <c r="L93" s="10">
        <v>9.5384125214066598E-2</v>
      </c>
      <c r="M93" s="1">
        <v>3</v>
      </c>
      <c r="R93" s="1" t="s">
        <v>74</v>
      </c>
      <c r="S93" s="2">
        <v>0.18103335513407401</v>
      </c>
      <c r="T93" s="1">
        <v>3</v>
      </c>
      <c r="V93" s="1" t="s">
        <v>90</v>
      </c>
      <c r="W93" s="1" t="s">
        <v>93</v>
      </c>
      <c r="X93" s="1">
        <v>19</v>
      </c>
    </row>
    <row r="94" spans="2:24" x14ac:dyDescent="0.3">
      <c r="E94" s="1" t="s">
        <v>75</v>
      </c>
      <c r="F94" s="10">
        <v>5.2889402206380103E-2</v>
      </c>
      <c r="H94" s="1" t="s">
        <v>76</v>
      </c>
      <c r="I94" s="10">
        <v>3.4091361663148599E-2</v>
      </c>
      <c r="K94" s="1" t="s">
        <v>77</v>
      </c>
      <c r="L94" s="10">
        <v>0.71026325222031905</v>
      </c>
      <c r="M94" s="1">
        <v>2</v>
      </c>
      <c r="R94" s="1" t="s">
        <v>78</v>
      </c>
      <c r="S94" s="2">
        <v>0.19630477436232799</v>
      </c>
      <c r="T94" s="1">
        <v>4</v>
      </c>
      <c r="V94" s="1" t="s">
        <v>90</v>
      </c>
      <c r="W94" s="1" t="s">
        <v>94</v>
      </c>
      <c r="X94" s="1">
        <v>7</v>
      </c>
    </row>
    <row r="95" spans="2:24" x14ac:dyDescent="0.3">
      <c r="E95" s="1" t="s">
        <v>79</v>
      </c>
      <c r="F95" s="10">
        <v>7.2045879963359705E-2</v>
      </c>
      <c r="H95" s="1" t="s">
        <v>80</v>
      </c>
      <c r="I95" s="10">
        <v>0</v>
      </c>
      <c r="K95" s="1" t="s">
        <v>81</v>
      </c>
      <c r="L95" s="10">
        <v>0.16061969811621299</v>
      </c>
      <c r="M95" s="1">
        <v>1</v>
      </c>
      <c r="R95" s="1" t="s">
        <v>82</v>
      </c>
      <c r="S95" s="2">
        <v>0.24767822105951601</v>
      </c>
      <c r="T95" s="1">
        <v>5</v>
      </c>
      <c r="V95" s="1" t="s">
        <v>90</v>
      </c>
      <c r="W95" s="1" t="s">
        <v>95</v>
      </c>
      <c r="X95" s="1">
        <v>1</v>
      </c>
    </row>
    <row r="96" spans="2:24" x14ac:dyDescent="0.3">
      <c r="E96" s="1" t="s">
        <v>83</v>
      </c>
      <c r="F96" s="10">
        <v>7.5431120315424705E-2</v>
      </c>
      <c r="R96" s="1" t="s">
        <v>84</v>
      </c>
      <c r="S96" s="2">
        <v>0.22923479398299501</v>
      </c>
      <c r="T96" s="1">
        <v>6</v>
      </c>
      <c r="V96" s="1" t="s">
        <v>90</v>
      </c>
      <c r="W96" s="1" t="s">
        <v>96</v>
      </c>
      <c r="X96" s="1">
        <v>1</v>
      </c>
    </row>
    <row r="97" spans="5:24" x14ac:dyDescent="0.3">
      <c r="E97" s="1" t="s">
        <v>85</v>
      </c>
      <c r="F97" s="10">
        <v>9.0445656935759997E-2</v>
      </c>
      <c r="V97" s="1" t="s">
        <v>90</v>
      </c>
      <c r="W97" s="1" t="s">
        <v>97</v>
      </c>
      <c r="X97" s="1">
        <v>30</v>
      </c>
    </row>
    <row r="98" spans="5:24" x14ac:dyDescent="0.3">
      <c r="E98" s="1" t="s">
        <v>86</v>
      </c>
      <c r="F98" s="10">
        <v>0.64944840495439804</v>
      </c>
      <c r="V98" s="1" t="s">
        <v>90</v>
      </c>
      <c r="W98" s="1" t="s">
        <v>98</v>
      </c>
      <c r="X98" s="1">
        <v>6</v>
      </c>
    </row>
    <row r="99" spans="5:24" x14ac:dyDescent="0.3">
      <c r="V99" s="1" t="s">
        <v>90</v>
      </c>
      <c r="W99" s="1" t="s">
        <v>99</v>
      </c>
      <c r="X99" s="1">
        <v>4</v>
      </c>
    </row>
    <row r="100" spans="5:24" x14ac:dyDescent="0.3">
      <c r="V100" s="1" t="s">
        <v>90</v>
      </c>
      <c r="W100" s="1" t="s">
        <v>100</v>
      </c>
      <c r="X100" s="1">
        <v>1</v>
      </c>
    </row>
    <row r="101" spans="5:24" x14ac:dyDescent="0.3">
      <c r="V101" s="1" t="s">
        <v>90</v>
      </c>
      <c r="W101" s="1" t="s">
        <v>101</v>
      </c>
      <c r="X101" s="1">
        <v>1</v>
      </c>
    </row>
    <row r="102" spans="5:24" x14ac:dyDescent="0.3">
      <c r="V102" s="1" t="s">
        <v>90</v>
      </c>
      <c r="W102" s="1" t="s">
        <v>102</v>
      </c>
      <c r="X102" s="1">
        <v>4</v>
      </c>
    </row>
    <row r="103" spans="5:24" x14ac:dyDescent="0.3">
      <c r="V103" s="1" t="s">
        <v>90</v>
      </c>
      <c r="W103" s="1" t="s">
        <v>103</v>
      </c>
      <c r="X103" s="1">
        <v>1</v>
      </c>
    </row>
    <row r="104" spans="5:24" x14ac:dyDescent="0.3">
      <c r="V104" s="1" t="s">
        <v>104</v>
      </c>
      <c r="W104" s="1">
        <v>0</v>
      </c>
      <c r="X104" s="1">
        <v>32</v>
      </c>
    </row>
    <row r="105" spans="5:24" x14ac:dyDescent="0.3">
      <c r="V105" s="1" t="s">
        <v>104</v>
      </c>
      <c r="W105" s="1" t="s">
        <v>105</v>
      </c>
      <c r="X105" s="1">
        <v>1</v>
      </c>
    </row>
    <row r="106" spans="5:24" x14ac:dyDescent="0.3">
      <c r="V106" s="1" t="s">
        <v>104</v>
      </c>
      <c r="W106" s="1" t="s">
        <v>106</v>
      </c>
      <c r="X106" s="1">
        <v>13</v>
      </c>
    </row>
    <row r="107" spans="5:24" x14ac:dyDescent="0.3">
      <c r="V107" s="1" t="s">
        <v>104</v>
      </c>
      <c r="W107" s="1" t="s">
        <v>107</v>
      </c>
      <c r="X107" s="1">
        <v>6</v>
      </c>
    </row>
    <row r="108" spans="5:24" x14ac:dyDescent="0.3">
      <c r="V108" s="1" t="s">
        <v>104</v>
      </c>
      <c r="W108" s="1" t="s">
        <v>108</v>
      </c>
      <c r="X108" s="1">
        <v>8</v>
      </c>
    </row>
    <row r="109" spans="5:24" x14ac:dyDescent="0.3">
      <c r="V109" s="1" t="s">
        <v>104</v>
      </c>
      <c r="W109" s="1" t="s">
        <v>109</v>
      </c>
      <c r="X109" s="1">
        <v>2</v>
      </c>
    </row>
    <row r="110" spans="5:24" x14ac:dyDescent="0.3">
      <c r="V110" s="1" t="s">
        <v>104</v>
      </c>
      <c r="W110" s="1" t="s">
        <v>110</v>
      </c>
      <c r="X110" s="1">
        <v>1</v>
      </c>
    </row>
    <row r="111" spans="5:24" x14ac:dyDescent="0.3">
      <c r="V111" s="1" t="s">
        <v>104</v>
      </c>
      <c r="W111" s="1" t="s">
        <v>111</v>
      </c>
      <c r="X111" s="1">
        <v>1</v>
      </c>
    </row>
    <row r="112" spans="5:24" x14ac:dyDescent="0.3">
      <c r="V112" s="1" t="s">
        <v>104</v>
      </c>
      <c r="W112" s="1" t="s">
        <v>112</v>
      </c>
      <c r="X112" s="1">
        <v>1</v>
      </c>
    </row>
    <row r="113" spans="22:24" x14ac:dyDescent="0.3">
      <c r="V113" s="1" t="s">
        <v>104</v>
      </c>
      <c r="W113" s="1" t="s">
        <v>113</v>
      </c>
      <c r="X113" s="1">
        <v>2</v>
      </c>
    </row>
    <row r="114" spans="22:24" x14ac:dyDescent="0.3">
      <c r="V114" s="1" t="s">
        <v>104</v>
      </c>
      <c r="W114" s="1" t="s">
        <v>114</v>
      </c>
      <c r="X114" s="1">
        <v>7</v>
      </c>
    </row>
    <row r="115" spans="22:24" x14ac:dyDescent="0.3">
      <c r="V115" s="1" t="s">
        <v>104</v>
      </c>
      <c r="W115" s="1" t="s">
        <v>115</v>
      </c>
      <c r="X115" s="1">
        <v>32</v>
      </c>
    </row>
    <row r="116" spans="22:24" x14ac:dyDescent="0.3">
      <c r="V116" s="1" t="s">
        <v>104</v>
      </c>
      <c r="W116" s="1" t="s">
        <v>116</v>
      </c>
      <c r="X116" s="1">
        <v>9</v>
      </c>
    </row>
    <row r="117" spans="22:24" x14ac:dyDescent="0.3">
      <c r="V117" s="1" t="s">
        <v>104</v>
      </c>
      <c r="W117" s="1" t="s">
        <v>117</v>
      </c>
      <c r="X117" s="1">
        <v>1</v>
      </c>
    </row>
    <row r="118" spans="22:24" x14ac:dyDescent="0.3">
      <c r="V118" s="1" t="s">
        <v>104</v>
      </c>
      <c r="W118" s="1" t="s">
        <v>118</v>
      </c>
      <c r="X118" s="1">
        <v>1</v>
      </c>
    </row>
    <row r="119" spans="22:24" x14ac:dyDescent="0.3">
      <c r="V119" s="1" t="s">
        <v>104</v>
      </c>
      <c r="W119" s="1" t="s">
        <v>119</v>
      </c>
      <c r="X119" s="1">
        <v>2</v>
      </c>
    </row>
    <row r="120" spans="22:24" x14ac:dyDescent="0.3">
      <c r="V120" s="1" t="s">
        <v>104</v>
      </c>
      <c r="W120" s="1" t="s">
        <v>120</v>
      </c>
      <c r="X120" s="1">
        <v>2</v>
      </c>
    </row>
    <row r="121" spans="22:24" x14ac:dyDescent="0.3">
      <c r="V121" s="1" t="s">
        <v>104</v>
      </c>
      <c r="W121" s="1" t="s">
        <v>121</v>
      </c>
      <c r="X121" s="1">
        <v>1</v>
      </c>
    </row>
    <row r="122" spans="22:24" x14ac:dyDescent="0.3">
      <c r="V122" s="1" t="s">
        <v>104</v>
      </c>
      <c r="W122" s="1" t="s">
        <v>122</v>
      </c>
      <c r="X122" s="1">
        <v>2</v>
      </c>
    </row>
    <row r="123" spans="22:24" x14ac:dyDescent="0.3">
      <c r="V123" s="1" t="s">
        <v>104</v>
      </c>
      <c r="W123" s="1" t="s">
        <v>123</v>
      </c>
      <c r="X123" s="1">
        <v>57</v>
      </c>
    </row>
    <row r="124" spans="22:24" x14ac:dyDescent="0.3">
      <c r="V124" s="1" t="s">
        <v>104</v>
      </c>
      <c r="W124" s="1" t="s">
        <v>124</v>
      </c>
      <c r="X124" s="1">
        <v>6</v>
      </c>
    </row>
    <row r="125" spans="22:24" x14ac:dyDescent="0.3">
      <c r="V125" s="1" t="s">
        <v>104</v>
      </c>
      <c r="W125" s="1" t="s">
        <v>125</v>
      </c>
      <c r="X125" s="1">
        <v>5</v>
      </c>
    </row>
    <row r="126" spans="22:24" x14ac:dyDescent="0.3">
      <c r="V126" s="1" t="s">
        <v>104</v>
      </c>
      <c r="W126" s="1" t="s">
        <v>126</v>
      </c>
      <c r="X126" s="1">
        <v>2</v>
      </c>
    </row>
    <row r="127" spans="22:24" x14ac:dyDescent="0.3">
      <c r="V127" s="1" t="s">
        <v>104</v>
      </c>
      <c r="W127" s="1" t="s">
        <v>127</v>
      </c>
      <c r="X127" s="1">
        <v>5</v>
      </c>
    </row>
    <row r="128" spans="22:24" x14ac:dyDescent="0.3">
      <c r="V128" s="1" t="s">
        <v>104</v>
      </c>
      <c r="W128" s="1" t="s">
        <v>128</v>
      </c>
      <c r="X128" s="1">
        <v>19</v>
      </c>
    </row>
    <row r="129" spans="22:24" x14ac:dyDescent="0.3">
      <c r="V129" s="1" t="s">
        <v>104</v>
      </c>
      <c r="W129" s="1" t="s">
        <v>129</v>
      </c>
      <c r="X129" s="1">
        <v>4</v>
      </c>
    </row>
    <row r="130" spans="22:24" x14ac:dyDescent="0.3">
      <c r="V130" s="1" t="s">
        <v>130</v>
      </c>
      <c r="W130" s="1" t="s">
        <v>131</v>
      </c>
      <c r="X130" s="1">
        <v>1</v>
      </c>
    </row>
    <row r="131" spans="22:24" x14ac:dyDescent="0.3">
      <c r="V131" s="1" t="s">
        <v>130</v>
      </c>
      <c r="W131" s="1" t="s">
        <v>132</v>
      </c>
      <c r="X131" s="1">
        <v>12</v>
      </c>
    </row>
    <row r="132" spans="22:24" x14ac:dyDescent="0.3">
      <c r="V132" s="1" t="s">
        <v>130</v>
      </c>
      <c r="W132" s="1" t="s">
        <v>133</v>
      </c>
      <c r="X132" s="1">
        <v>4</v>
      </c>
    </row>
    <row r="133" spans="22:24" x14ac:dyDescent="0.3">
      <c r="V133" s="1" t="s">
        <v>130</v>
      </c>
      <c r="W133" s="1" t="s">
        <v>134</v>
      </c>
      <c r="X133" s="1">
        <v>11</v>
      </c>
    </row>
    <row r="134" spans="22:24" x14ac:dyDescent="0.3">
      <c r="V134" s="1" t="s">
        <v>130</v>
      </c>
      <c r="W134" s="1" t="s">
        <v>135</v>
      </c>
      <c r="X134" s="1">
        <v>21</v>
      </c>
    </row>
    <row r="135" spans="22:24" x14ac:dyDescent="0.3">
      <c r="V135" s="1" t="s">
        <v>130</v>
      </c>
      <c r="W135" s="1" t="s">
        <v>136</v>
      </c>
      <c r="X135" s="1">
        <v>22</v>
      </c>
    </row>
    <row r="136" spans="22:24" x14ac:dyDescent="0.3">
      <c r="V136" s="1" t="s">
        <v>25</v>
      </c>
      <c r="W136" s="1">
        <v>0</v>
      </c>
      <c r="X136" s="1">
        <v>1</v>
      </c>
    </row>
    <row r="137" spans="22:24" x14ac:dyDescent="0.3">
      <c r="V137" s="1" t="s">
        <v>25</v>
      </c>
      <c r="W137" s="1" t="s">
        <v>137</v>
      </c>
      <c r="X137" s="1">
        <v>249</v>
      </c>
    </row>
    <row r="138" spans="22:24" x14ac:dyDescent="0.3">
      <c r="V138" s="1" t="s">
        <v>25</v>
      </c>
      <c r="W138" s="1" t="s">
        <v>138</v>
      </c>
      <c r="X138" s="1">
        <v>145</v>
      </c>
    </row>
    <row r="139" spans="22:24" x14ac:dyDescent="0.3">
      <c r="V139" s="1" t="s">
        <v>25</v>
      </c>
      <c r="W139" s="1" t="s">
        <v>139</v>
      </c>
      <c r="X139" s="1">
        <v>8</v>
      </c>
    </row>
    <row r="140" spans="22:24" x14ac:dyDescent="0.3">
      <c r="V140" s="1" t="s">
        <v>25</v>
      </c>
      <c r="W140" s="1" t="s">
        <v>140</v>
      </c>
      <c r="X140" s="1">
        <v>137</v>
      </c>
    </row>
    <row r="141" spans="22:24" x14ac:dyDescent="0.3">
      <c r="V141" s="1" t="s">
        <v>25</v>
      </c>
      <c r="W141" s="1" t="s">
        <v>141</v>
      </c>
      <c r="X141" s="1">
        <v>1028</v>
      </c>
    </row>
    <row r="142" spans="22:24" x14ac:dyDescent="0.3">
      <c r="V142" s="1" t="s">
        <v>25</v>
      </c>
      <c r="W142" s="1" t="s">
        <v>142</v>
      </c>
      <c r="X142" s="1">
        <v>1</v>
      </c>
    </row>
    <row r="143" spans="22:24" x14ac:dyDescent="0.3">
      <c r="V143" s="1" t="s">
        <v>25</v>
      </c>
      <c r="W143" s="1" t="s">
        <v>143</v>
      </c>
      <c r="X143" s="1">
        <v>1</v>
      </c>
    </row>
    <row r="144" spans="22:24" x14ac:dyDescent="0.3">
      <c r="V144" s="1" t="s">
        <v>25</v>
      </c>
      <c r="W144" s="1" t="s">
        <v>144</v>
      </c>
      <c r="X144" s="1">
        <v>500</v>
      </c>
    </row>
    <row r="145" spans="22:24" x14ac:dyDescent="0.3">
      <c r="V145" s="1" t="s">
        <v>25</v>
      </c>
      <c r="W145" s="1" t="s">
        <v>145</v>
      </c>
      <c r="X145" s="1">
        <v>238</v>
      </c>
    </row>
    <row r="146" spans="22:24" x14ac:dyDescent="0.3">
      <c r="V146" s="1" t="s">
        <v>25</v>
      </c>
      <c r="W146" s="1" t="s">
        <v>146</v>
      </c>
      <c r="X146" s="1">
        <v>561</v>
      </c>
    </row>
    <row r="147" spans="22:24" x14ac:dyDescent="0.3">
      <c r="V147" s="1" t="s">
        <v>25</v>
      </c>
      <c r="W147" s="1" t="s">
        <v>147</v>
      </c>
      <c r="X147" s="1">
        <v>219</v>
      </c>
    </row>
    <row r="148" spans="22:24" x14ac:dyDescent="0.3">
      <c r="V148" s="1" t="s">
        <v>25</v>
      </c>
      <c r="W148" s="1" t="s">
        <v>148</v>
      </c>
      <c r="X148" s="1">
        <v>2</v>
      </c>
    </row>
    <row r="149" spans="22:24" x14ac:dyDescent="0.3">
      <c r="V149" s="1" t="s">
        <v>25</v>
      </c>
      <c r="W149" s="1" t="s">
        <v>149</v>
      </c>
      <c r="X149" s="1">
        <v>1</v>
      </c>
    </row>
    <row r="150" spans="22:24" x14ac:dyDescent="0.3">
      <c r="V150" s="1" t="s">
        <v>25</v>
      </c>
      <c r="W150" s="1" t="s">
        <v>150</v>
      </c>
      <c r="X150" s="1">
        <v>1</v>
      </c>
    </row>
    <row r="151" spans="22:24" x14ac:dyDescent="0.3">
      <c r="V151" s="1" t="s">
        <v>25</v>
      </c>
      <c r="W151" s="1" t="s">
        <v>151</v>
      </c>
      <c r="X151" s="1">
        <v>1</v>
      </c>
    </row>
    <row r="152" spans="22:24" x14ac:dyDescent="0.3">
      <c r="V152" s="1" t="s">
        <v>25</v>
      </c>
      <c r="W152" s="1" t="s">
        <v>152</v>
      </c>
      <c r="X152" s="1">
        <v>37</v>
      </c>
    </row>
    <row r="153" spans="22:24" x14ac:dyDescent="0.3">
      <c r="V153" s="1" t="s">
        <v>25</v>
      </c>
      <c r="W153" s="1" t="s">
        <v>153</v>
      </c>
      <c r="X153" s="1">
        <v>4</v>
      </c>
    </row>
    <row r="154" spans="22:24" x14ac:dyDescent="0.3">
      <c r="V154" s="1" t="s">
        <v>25</v>
      </c>
      <c r="W154" s="1" t="s">
        <v>154</v>
      </c>
      <c r="X154" s="1">
        <v>155</v>
      </c>
    </row>
    <row r="155" spans="22:24" x14ac:dyDescent="0.3">
      <c r="V155" s="1" t="s">
        <v>25</v>
      </c>
      <c r="W155" s="1" t="s">
        <v>155</v>
      </c>
      <c r="X155" s="1">
        <v>180</v>
      </c>
    </row>
    <row r="156" spans="22:24" x14ac:dyDescent="0.3">
      <c r="V156" s="1" t="s">
        <v>25</v>
      </c>
      <c r="W156" s="1" t="s">
        <v>156</v>
      </c>
      <c r="X156" s="1">
        <v>1</v>
      </c>
    </row>
    <row r="157" spans="22:24" x14ac:dyDescent="0.3">
      <c r="V157" s="1" t="s">
        <v>25</v>
      </c>
      <c r="W157" s="1" t="s">
        <v>157</v>
      </c>
      <c r="X157" s="1">
        <v>1012</v>
      </c>
    </row>
    <row r="158" spans="22:24" x14ac:dyDescent="0.3">
      <c r="V158" s="1" t="s">
        <v>25</v>
      </c>
      <c r="W158" s="1" t="s">
        <v>158</v>
      </c>
      <c r="X158" s="1">
        <v>680</v>
      </c>
    </row>
    <row r="159" spans="22:24" x14ac:dyDescent="0.3">
      <c r="V159" s="1" t="s">
        <v>25</v>
      </c>
      <c r="W159" s="1" t="s">
        <v>159</v>
      </c>
      <c r="X159" s="1">
        <v>172</v>
      </c>
    </row>
    <row r="160" spans="22:24" x14ac:dyDescent="0.3">
      <c r="V160" s="1" t="s">
        <v>25</v>
      </c>
      <c r="W160" s="1" t="s">
        <v>160</v>
      </c>
      <c r="X160" s="1">
        <v>39</v>
      </c>
    </row>
    <row r="161" spans="22:24" x14ac:dyDescent="0.3">
      <c r="V161" s="1" t="s">
        <v>25</v>
      </c>
      <c r="W161" s="1" t="s">
        <v>161</v>
      </c>
      <c r="X161" s="1">
        <v>291</v>
      </c>
    </row>
    <row r="162" spans="22:24" x14ac:dyDescent="0.3">
      <c r="V162" s="1" t="s">
        <v>25</v>
      </c>
      <c r="W162" s="1" t="s">
        <v>162</v>
      </c>
      <c r="X162" s="1">
        <v>44</v>
      </c>
    </row>
    <row r="163" spans="22:24" x14ac:dyDescent="0.3">
      <c r="V163" s="1" t="s">
        <v>25</v>
      </c>
      <c r="W163" s="1" t="s">
        <v>163</v>
      </c>
      <c r="X163" s="1">
        <v>7</v>
      </c>
    </row>
    <row r="164" spans="22:24" x14ac:dyDescent="0.3">
      <c r="V164" s="1" t="s">
        <v>25</v>
      </c>
      <c r="W164" s="1" t="s">
        <v>164</v>
      </c>
      <c r="X164" s="1">
        <v>155</v>
      </c>
    </row>
    <row r="165" spans="22:24" x14ac:dyDescent="0.3">
      <c r="V165" s="1" t="s">
        <v>25</v>
      </c>
      <c r="W165" s="1" t="s">
        <v>165</v>
      </c>
      <c r="X165" s="1">
        <v>67</v>
      </c>
    </row>
    <row r="166" spans="22:24" x14ac:dyDescent="0.3">
      <c r="V166" s="1" t="s">
        <v>166</v>
      </c>
      <c r="W166" s="1">
        <v>300</v>
      </c>
      <c r="X166" s="1">
        <v>6</v>
      </c>
    </row>
    <row r="167" spans="22:24" x14ac:dyDescent="0.3">
      <c r="V167" s="1" t="s">
        <v>166</v>
      </c>
      <c r="W167" s="1" t="s">
        <v>167</v>
      </c>
      <c r="X167" s="1">
        <v>7</v>
      </c>
    </row>
    <row r="168" spans="22:24" x14ac:dyDescent="0.3">
      <c r="V168" s="1" t="s">
        <v>166</v>
      </c>
      <c r="W168" s="1" t="s">
        <v>168</v>
      </c>
      <c r="X168" s="1">
        <v>6</v>
      </c>
    </row>
    <row r="169" spans="22:24" x14ac:dyDescent="0.3">
      <c r="V169" s="1" t="s">
        <v>169</v>
      </c>
      <c r="W169" s="1" t="s">
        <v>170</v>
      </c>
      <c r="X169" s="1">
        <v>80</v>
      </c>
    </row>
    <row r="170" spans="22:24" x14ac:dyDescent="0.3">
      <c r="V170" s="1" t="s">
        <v>169</v>
      </c>
      <c r="W170" s="1" t="s">
        <v>171</v>
      </c>
      <c r="X170" s="1">
        <v>438</v>
      </c>
    </row>
    <row r="171" spans="22:24" x14ac:dyDescent="0.3">
      <c r="V171" s="1" t="s">
        <v>169</v>
      </c>
      <c r="W171" s="1" t="s">
        <v>172</v>
      </c>
      <c r="X171" s="1">
        <v>250</v>
      </c>
    </row>
    <row r="172" spans="22:24" x14ac:dyDescent="0.3">
      <c r="V172" s="1" t="s">
        <v>169</v>
      </c>
      <c r="W172" s="1" t="s">
        <v>173</v>
      </c>
      <c r="X172" s="1">
        <v>4</v>
      </c>
    </row>
    <row r="173" spans="22:24" x14ac:dyDescent="0.3">
      <c r="V173" s="1" t="s">
        <v>169</v>
      </c>
      <c r="W173" s="1" t="s">
        <v>174</v>
      </c>
      <c r="X173" s="1">
        <v>1</v>
      </c>
    </row>
    <row r="174" spans="22:24" x14ac:dyDescent="0.3">
      <c r="V174" s="1" t="s">
        <v>169</v>
      </c>
      <c r="W174" s="1" t="s">
        <v>175</v>
      </c>
      <c r="X174" s="1">
        <v>1</v>
      </c>
    </row>
    <row r="175" spans="22:24" x14ac:dyDescent="0.3">
      <c r="V175" s="1" t="s">
        <v>169</v>
      </c>
      <c r="W175" s="1" t="s">
        <v>176</v>
      </c>
      <c r="X175" s="1">
        <v>6</v>
      </c>
    </row>
    <row r="176" spans="22:24" x14ac:dyDescent="0.3">
      <c r="V176" s="1" t="s">
        <v>169</v>
      </c>
      <c r="W176" s="1" t="s">
        <v>177</v>
      </c>
      <c r="X176" s="1">
        <v>3</v>
      </c>
    </row>
    <row r="177" spans="22:24" x14ac:dyDescent="0.3">
      <c r="V177" s="1" t="s">
        <v>169</v>
      </c>
      <c r="W177" s="1" t="s">
        <v>178</v>
      </c>
      <c r="X177" s="1">
        <v>1</v>
      </c>
    </row>
    <row r="178" spans="22:24" x14ac:dyDescent="0.3">
      <c r="V178" s="1" t="s">
        <v>169</v>
      </c>
      <c r="W178" s="1" t="s">
        <v>179</v>
      </c>
      <c r="X178" s="1">
        <v>3</v>
      </c>
    </row>
    <row r="179" spans="22:24" x14ac:dyDescent="0.3">
      <c r="V179" s="1" t="s">
        <v>169</v>
      </c>
      <c r="W179" s="1" t="s">
        <v>180</v>
      </c>
      <c r="X179" s="1">
        <v>38</v>
      </c>
    </row>
    <row r="180" spans="22:24" x14ac:dyDescent="0.3">
      <c r="V180" s="1" t="s">
        <v>181</v>
      </c>
      <c r="W180" s="1" t="s">
        <v>182</v>
      </c>
      <c r="X180" s="1">
        <v>29</v>
      </c>
    </row>
    <row r="181" spans="22:24" x14ac:dyDescent="0.3">
      <c r="V181" s="1" t="s">
        <v>181</v>
      </c>
      <c r="W181" s="1" t="s">
        <v>183</v>
      </c>
      <c r="X181" s="1">
        <v>5</v>
      </c>
    </row>
    <row r="182" spans="22:24" x14ac:dyDescent="0.3">
      <c r="V182" s="1" t="s">
        <v>184</v>
      </c>
      <c r="W182" s="1" t="s">
        <v>185</v>
      </c>
      <c r="X182" s="1">
        <v>1</v>
      </c>
    </row>
    <row r="183" spans="22:24" x14ac:dyDescent="0.3">
      <c r="V183" s="1" t="s">
        <v>24</v>
      </c>
      <c r="W183" s="1">
        <v>500</v>
      </c>
      <c r="X183" s="1">
        <v>24</v>
      </c>
    </row>
    <row r="184" spans="22:24" x14ac:dyDescent="0.3">
      <c r="V184" s="1" t="s">
        <v>24</v>
      </c>
      <c r="W184" s="1" t="s">
        <v>186</v>
      </c>
      <c r="X184" s="1">
        <v>145</v>
      </c>
    </row>
    <row r="185" spans="22:24" x14ac:dyDescent="0.3">
      <c r="V185" s="1" t="s">
        <v>24</v>
      </c>
      <c r="W185" s="1" t="s">
        <v>187</v>
      </c>
      <c r="X185" s="1">
        <v>55</v>
      </c>
    </row>
    <row r="186" spans="22:24" x14ac:dyDescent="0.3">
      <c r="V186" s="1" t="s">
        <v>24</v>
      </c>
      <c r="W186" s="1" t="s">
        <v>188</v>
      </c>
      <c r="X186" s="1">
        <v>15</v>
      </c>
    </row>
    <row r="187" spans="22:24" x14ac:dyDescent="0.3">
      <c r="V187" s="1" t="s">
        <v>24</v>
      </c>
      <c r="W187" s="1" t="s">
        <v>189</v>
      </c>
      <c r="X187" s="1">
        <v>120</v>
      </c>
    </row>
    <row r="188" spans="22:24" x14ac:dyDescent="0.3">
      <c r="V188" s="1" t="s">
        <v>24</v>
      </c>
      <c r="W188" s="1" t="s">
        <v>190</v>
      </c>
      <c r="X188" s="1">
        <v>38</v>
      </c>
    </row>
    <row r="189" spans="22:24" x14ac:dyDescent="0.3">
      <c r="V189" s="1" t="s">
        <v>24</v>
      </c>
      <c r="W189" s="1" t="s">
        <v>191</v>
      </c>
      <c r="X189" s="1">
        <v>3</v>
      </c>
    </row>
    <row r="190" spans="22:24" x14ac:dyDescent="0.3">
      <c r="V190" s="1" t="s">
        <v>24</v>
      </c>
      <c r="W190" s="1" t="s">
        <v>192</v>
      </c>
      <c r="X190" s="1">
        <v>1</v>
      </c>
    </row>
    <row r="191" spans="22:24" x14ac:dyDescent="0.3">
      <c r="V191" s="1" t="s">
        <v>24</v>
      </c>
      <c r="W191" s="1" t="s">
        <v>193</v>
      </c>
      <c r="X191" s="1">
        <v>264</v>
      </c>
    </row>
    <row r="192" spans="22:24" x14ac:dyDescent="0.3">
      <c r="V192" s="1" t="s">
        <v>24</v>
      </c>
      <c r="W192" s="1" t="s">
        <v>194</v>
      </c>
      <c r="X192" s="1">
        <v>59</v>
      </c>
    </row>
    <row r="193" spans="22:24" x14ac:dyDescent="0.3">
      <c r="V193" s="1" t="s">
        <v>24</v>
      </c>
      <c r="W193" s="1" t="s">
        <v>195</v>
      </c>
      <c r="X193" s="1">
        <v>220</v>
      </c>
    </row>
    <row r="194" spans="22:24" x14ac:dyDescent="0.3">
      <c r="V194" s="1" t="s">
        <v>24</v>
      </c>
      <c r="W194" s="1" t="s">
        <v>196</v>
      </c>
      <c r="X194" s="1">
        <v>1</v>
      </c>
    </row>
    <row r="195" spans="22:24" x14ac:dyDescent="0.3">
      <c r="V195" s="1" t="s">
        <v>24</v>
      </c>
      <c r="W195" s="1" t="s">
        <v>197</v>
      </c>
      <c r="X195" s="1">
        <v>317</v>
      </c>
    </row>
    <row r="196" spans="22:24" x14ac:dyDescent="0.3">
      <c r="V196" s="1" t="s">
        <v>24</v>
      </c>
      <c r="W196" s="1" t="s">
        <v>198</v>
      </c>
      <c r="X196" s="1">
        <v>86</v>
      </c>
    </row>
    <row r="197" spans="22:24" x14ac:dyDescent="0.3">
      <c r="V197" s="1" t="s">
        <v>24</v>
      </c>
      <c r="W197" s="1" t="s">
        <v>199</v>
      </c>
      <c r="X197" s="1">
        <v>112</v>
      </c>
    </row>
    <row r="198" spans="22:24" x14ac:dyDescent="0.3">
      <c r="V198" s="1" t="s">
        <v>24</v>
      </c>
      <c r="W198" s="1" t="s">
        <v>200</v>
      </c>
      <c r="X198" s="1">
        <v>1699</v>
      </c>
    </row>
    <row r="199" spans="22:24" x14ac:dyDescent="0.3">
      <c r="V199" s="1" t="s">
        <v>24</v>
      </c>
      <c r="W199" s="1" t="s">
        <v>201</v>
      </c>
      <c r="X199" s="1">
        <v>423</v>
      </c>
    </row>
    <row r="200" spans="22:24" x14ac:dyDescent="0.3">
      <c r="V200" s="1" t="s">
        <v>24</v>
      </c>
      <c r="W200" s="1" t="s">
        <v>202</v>
      </c>
      <c r="X200" s="1">
        <v>493</v>
      </c>
    </row>
    <row r="201" spans="22:24" x14ac:dyDescent="0.3">
      <c r="V201" s="1" t="s">
        <v>24</v>
      </c>
      <c r="W201" s="1" t="s">
        <v>203</v>
      </c>
      <c r="X201" s="1">
        <v>72</v>
      </c>
    </row>
    <row r="202" spans="22:24" x14ac:dyDescent="0.3">
      <c r="V202" s="1" t="s">
        <v>24</v>
      </c>
      <c r="W202" s="1" t="s">
        <v>204</v>
      </c>
      <c r="X202" s="1">
        <v>295</v>
      </c>
    </row>
    <row r="203" spans="22:24" x14ac:dyDescent="0.3">
      <c r="V203" s="1" t="s">
        <v>24</v>
      </c>
      <c r="W203" s="1" t="s">
        <v>205</v>
      </c>
      <c r="X203" s="1">
        <v>131</v>
      </c>
    </row>
    <row r="204" spans="22:24" x14ac:dyDescent="0.3">
      <c r="V204" s="1" t="s">
        <v>24</v>
      </c>
      <c r="W204" s="1" t="s">
        <v>206</v>
      </c>
      <c r="X204" s="1">
        <v>1385</v>
      </c>
    </row>
    <row r="205" spans="22:24" x14ac:dyDescent="0.3">
      <c r="V205" s="1" t="s">
        <v>27</v>
      </c>
      <c r="W205" s="1" t="s">
        <v>207</v>
      </c>
      <c r="X205" s="1">
        <v>6</v>
      </c>
    </row>
    <row r="206" spans="22:24" x14ac:dyDescent="0.3">
      <c r="V206" s="1" t="s">
        <v>27</v>
      </c>
      <c r="W206" s="1" t="s">
        <v>208</v>
      </c>
      <c r="X206" s="1">
        <v>423</v>
      </c>
    </row>
    <row r="207" spans="22:24" x14ac:dyDescent="0.3">
      <c r="V207" s="1" t="s">
        <v>27</v>
      </c>
      <c r="W207" s="1" t="s">
        <v>209</v>
      </c>
      <c r="X207" s="1">
        <v>30</v>
      </c>
    </row>
    <row r="208" spans="22:24" x14ac:dyDescent="0.3">
      <c r="V208" s="1" t="s">
        <v>27</v>
      </c>
      <c r="W208" s="1" t="s">
        <v>210</v>
      </c>
      <c r="X208" s="1">
        <v>3</v>
      </c>
    </row>
    <row r="209" spans="22:24" x14ac:dyDescent="0.3">
      <c r="V209" s="1" t="s">
        <v>27</v>
      </c>
      <c r="W209" s="1" t="s">
        <v>211</v>
      </c>
      <c r="X209" s="1">
        <v>1221</v>
      </c>
    </row>
    <row r="210" spans="22:24" x14ac:dyDescent="0.3">
      <c r="V210" s="1" t="s">
        <v>27</v>
      </c>
      <c r="W210" s="1" t="s">
        <v>212</v>
      </c>
      <c r="X210" s="1">
        <v>223</v>
      </c>
    </row>
    <row r="211" spans="22:24" x14ac:dyDescent="0.3">
      <c r="V211" s="1" t="s">
        <v>27</v>
      </c>
      <c r="W211" s="1" t="s">
        <v>213</v>
      </c>
      <c r="X211" s="1">
        <v>1</v>
      </c>
    </row>
    <row r="212" spans="22:24" x14ac:dyDescent="0.3">
      <c r="V212" s="1" t="s">
        <v>27</v>
      </c>
      <c r="W212" s="1" t="s">
        <v>214</v>
      </c>
      <c r="X212" s="1">
        <v>133</v>
      </c>
    </row>
    <row r="213" spans="22:24" x14ac:dyDescent="0.3">
      <c r="V213" s="1" t="s">
        <v>27</v>
      </c>
      <c r="W213" s="1" t="s">
        <v>215</v>
      </c>
      <c r="X213" s="1">
        <v>1</v>
      </c>
    </row>
    <row r="214" spans="22:24" x14ac:dyDescent="0.3">
      <c r="V214" s="1" t="s">
        <v>27</v>
      </c>
      <c r="W214" s="1" t="s">
        <v>216</v>
      </c>
      <c r="X214" s="1">
        <v>968</v>
      </c>
    </row>
    <row r="215" spans="22:24" x14ac:dyDescent="0.3">
      <c r="V215" s="1" t="s">
        <v>27</v>
      </c>
      <c r="W215" s="1" t="s">
        <v>217</v>
      </c>
      <c r="X215" s="1">
        <v>178</v>
      </c>
    </row>
    <row r="216" spans="22:24" x14ac:dyDescent="0.3">
      <c r="V216" s="1" t="s">
        <v>27</v>
      </c>
      <c r="W216" s="1" t="s">
        <v>218</v>
      </c>
      <c r="X216" s="1">
        <v>3</v>
      </c>
    </row>
    <row r="217" spans="22:24" x14ac:dyDescent="0.3">
      <c r="V217" s="1" t="s">
        <v>27</v>
      </c>
      <c r="W217" s="1" t="s">
        <v>219</v>
      </c>
      <c r="X217" s="1">
        <v>95</v>
      </c>
    </row>
    <row r="218" spans="22:24" x14ac:dyDescent="0.3">
      <c r="V218" s="1" t="s">
        <v>27</v>
      </c>
      <c r="W218" s="1" t="s">
        <v>220</v>
      </c>
      <c r="X218" s="1">
        <v>11</v>
      </c>
    </row>
    <row r="219" spans="22:24" x14ac:dyDescent="0.3">
      <c r="V219" s="1" t="s">
        <v>221</v>
      </c>
      <c r="W219" s="1" t="s">
        <v>222</v>
      </c>
      <c r="X219" s="1">
        <v>1</v>
      </c>
    </row>
    <row r="220" spans="22:24" x14ac:dyDescent="0.3">
      <c r="V220" s="1" t="s">
        <v>223</v>
      </c>
      <c r="W220" s="1" t="s">
        <v>224</v>
      </c>
      <c r="X220" s="1">
        <v>1</v>
      </c>
    </row>
    <row r="221" spans="22:24" x14ac:dyDescent="0.3">
      <c r="V221" s="1" t="s">
        <v>225</v>
      </c>
      <c r="W221" s="1" t="s">
        <v>226</v>
      </c>
      <c r="X221" s="1">
        <v>6</v>
      </c>
    </row>
    <row r="222" spans="22:24" x14ac:dyDescent="0.3">
      <c r="V222" s="1" t="s">
        <v>227</v>
      </c>
      <c r="W222" s="1">
        <v>0</v>
      </c>
      <c r="X222" s="1">
        <v>1</v>
      </c>
    </row>
    <row r="223" spans="22:24" x14ac:dyDescent="0.3">
      <c r="V223" s="1" t="s">
        <v>227</v>
      </c>
      <c r="W223" s="1" t="s">
        <v>228</v>
      </c>
      <c r="X223" s="1">
        <v>1</v>
      </c>
    </row>
    <row r="224" spans="22:24" x14ac:dyDescent="0.3">
      <c r="V224" s="1" t="s">
        <v>227</v>
      </c>
      <c r="W224" s="1" t="s">
        <v>229</v>
      </c>
      <c r="X224" s="1">
        <v>133</v>
      </c>
    </row>
    <row r="225" spans="22:24" x14ac:dyDescent="0.3">
      <c r="V225" s="1" t="s">
        <v>227</v>
      </c>
      <c r="W225" s="1" t="s">
        <v>230</v>
      </c>
      <c r="X225" s="1">
        <v>602</v>
      </c>
    </row>
    <row r="226" spans="22:24" x14ac:dyDescent="0.3">
      <c r="V226" s="1" t="s">
        <v>227</v>
      </c>
      <c r="W226" s="1" t="s">
        <v>231</v>
      </c>
      <c r="X226" s="1">
        <v>69</v>
      </c>
    </row>
    <row r="227" spans="22:24" x14ac:dyDescent="0.3">
      <c r="V227" s="1" t="s">
        <v>227</v>
      </c>
      <c r="W227" s="1" t="s">
        <v>232</v>
      </c>
      <c r="X227" s="1">
        <v>240</v>
      </c>
    </row>
    <row r="228" spans="22:24" x14ac:dyDescent="0.3">
      <c r="V228" s="1" t="s">
        <v>227</v>
      </c>
      <c r="W228" s="1" t="s">
        <v>233</v>
      </c>
      <c r="X228" s="1">
        <v>1</v>
      </c>
    </row>
    <row r="229" spans="22:24" x14ac:dyDescent="0.3">
      <c r="V229" s="1" t="s">
        <v>227</v>
      </c>
      <c r="W229" s="1" t="s">
        <v>234</v>
      </c>
      <c r="X229" s="1">
        <v>81</v>
      </c>
    </row>
    <row r="230" spans="22:24" x14ac:dyDescent="0.3">
      <c r="V230" s="1" t="s">
        <v>227</v>
      </c>
      <c r="W230" s="1" t="s">
        <v>235</v>
      </c>
      <c r="X230" s="1">
        <v>1</v>
      </c>
    </row>
    <row r="231" spans="22:24" x14ac:dyDescent="0.3">
      <c r="V231" s="1" t="s">
        <v>236</v>
      </c>
      <c r="W231" s="1" t="s">
        <v>237</v>
      </c>
      <c r="X231" s="1">
        <v>60</v>
      </c>
    </row>
    <row r="232" spans="22:24" x14ac:dyDescent="0.3">
      <c r="V232" s="1" t="s">
        <v>236</v>
      </c>
      <c r="W232" s="1" t="s">
        <v>238</v>
      </c>
      <c r="X232" s="1">
        <v>45</v>
      </c>
    </row>
    <row r="233" spans="22:24" x14ac:dyDescent="0.3">
      <c r="V233" s="1" t="s">
        <v>236</v>
      </c>
      <c r="W233" s="1" t="s">
        <v>239</v>
      </c>
      <c r="X233" s="1">
        <v>38</v>
      </c>
    </row>
    <row r="234" spans="22:24" x14ac:dyDescent="0.3">
      <c r="V234" s="1" t="s">
        <v>236</v>
      </c>
      <c r="W234" s="1" t="s">
        <v>240</v>
      </c>
      <c r="X234" s="1">
        <v>1</v>
      </c>
    </row>
    <row r="235" spans="22:24" x14ac:dyDescent="0.3">
      <c r="V235" s="1" t="s">
        <v>236</v>
      </c>
      <c r="W235" s="1" t="s">
        <v>195</v>
      </c>
      <c r="X235" s="1">
        <v>4</v>
      </c>
    </row>
    <row r="236" spans="22:24" x14ac:dyDescent="0.3">
      <c r="V236" s="1" t="s">
        <v>236</v>
      </c>
      <c r="W236" s="1" t="s">
        <v>241</v>
      </c>
      <c r="X236" s="1">
        <v>768</v>
      </c>
    </row>
    <row r="237" spans="22:24" x14ac:dyDescent="0.3">
      <c r="V237" s="1" t="s">
        <v>236</v>
      </c>
      <c r="W237" s="1" t="s">
        <v>242</v>
      </c>
      <c r="X237" s="1">
        <v>200</v>
      </c>
    </row>
    <row r="238" spans="22:24" x14ac:dyDescent="0.3">
      <c r="V238" s="1" t="s">
        <v>236</v>
      </c>
      <c r="W238" s="1" t="s">
        <v>243</v>
      </c>
      <c r="X238" s="1">
        <v>22</v>
      </c>
    </row>
    <row r="239" spans="22:24" x14ac:dyDescent="0.3">
      <c r="V239" s="1" t="s">
        <v>236</v>
      </c>
      <c r="W239" s="1" t="s">
        <v>244</v>
      </c>
      <c r="X239" s="1">
        <v>45</v>
      </c>
    </row>
    <row r="240" spans="22:24" x14ac:dyDescent="0.3">
      <c r="V240" s="1" t="s">
        <v>236</v>
      </c>
      <c r="W240" s="1" t="s">
        <v>245</v>
      </c>
      <c r="X240" s="1">
        <v>1</v>
      </c>
    </row>
    <row r="241" spans="22:24" x14ac:dyDescent="0.3">
      <c r="V241" s="1" t="s">
        <v>236</v>
      </c>
      <c r="W241" s="1" t="s">
        <v>246</v>
      </c>
      <c r="X241" s="1">
        <v>435</v>
      </c>
    </row>
    <row r="242" spans="22:24" x14ac:dyDescent="0.3">
      <c r="V242" s="1" t="s">
        <v>236</v>
      </c>
      <c r="W242" s="1" t="s">
        <v>247</v>
      </c>
      <c r="X242" s="1">
        <v>19</v>
      </c>
    </row>
    <row r="243" spans="22:24" x14ac:dyDescent="0.3">
      <c r="V243" s="1" t="s">
        <v>236</v>
      </c>
      <c r="W243" s="1" t="s">
        <v>248</v>
      </c>
      <c r="X243" s="1">
        <v>161</v>
      </c>
    </row>
    <row r="244" spans="22:24" x14ac:dyDescent="0.3">
      <c r="V244" s="1" t="s">
        <v>236</v>
      </c>
      <c r="W244" s="1" t="s">
        <v>249</v>
      </c>
      <c r="X244" s="1">
        <v>83</v>
      </c>
    </row>
    <row r="245" spans="22:24" x14ac:dyDescent="0.3">
      <c r="V245" s="1" t="s">
        <v>236</v>
      </c>
      <c r="W245" s="1" t="s">
        <v>250</v>
      </c>
      <c r="X245" s="1">
        <v>45</v>
      </c>
    </row>
    <row r="246" spans="22:24" x14ac:dyDescent="0.3">
      <c r="V246" s="1" t="s">
        <v>236</v>
      </c>
      <c r="W246" s="1" t="s">
        <v>251</v>
      </c>
      <c r="X246" s="1">
        <v>327</v>
      </c>
    </row>
    <row r="247" spans="22:24" x14ac:dyDescent="0.3">
      <c r="V247" s="1" t="s">
        <v>236</v>
      </c>
      <c r="W247" s="1" t="s">
        <v>252</v>
      </c>
      <c r="X247" s="1">
        <v>38</v>
      </c>
    </row>
    <row r="248" spans="22:24" x14ac:dyDescent="0.3">
      <c r="V248" s="1" t="s">
        <v>236</v>
      </c>
      <c r="W248" s="1" t="s">
        <v>253</v>
      </c>
      <c r="X248" s="1">
        <v>41</v>
      </c>
    </row>
    <row r="249" spans="22:24" x14ac:dyDescent="0.3">
      <c r="V249" s="1" t="s">
        <v>254</v>
      </c>
      <c r="W249" s="1" t="s">
        <v>255</v>
      </c>
      <c r="X249" s="1">
        <v>2</v>
      </c>
    </row>
    <row r="250" spans="22:24" x14ac:dyDescent="0.3">
      <c r="V250" s="1" t="s">
        <v>254</v>
      </c>
      <c r="W250" s="1" t="s">
        <v>256</v>
      </c>
      <c r="X250" s="1">
        <v>12</v>
      </c>
    </row>
    <row r="251" spans="22:24" x14ac:dyDescent="0.3">
      <c r="V251" s="1" t="s">
        <v>254</v>
      </c>
      <c r="W251" s="1" t="s">
        <v>257</v>
      </c>
      <c r="X251" s="1">
        <v>65</v>
      </c>
    </row>
    <row r="252" spans="22:24" x14ac:dyDescent="0.3">
      <c r="V252" s="1" t="s">
        <v>254</v>
      </c>
      <c r="W252" s="1" t="s">
        <v>258</v>
      </c>
      <c r="X252" s="1">
        <v>6</v>
      </c>
    </row>
    <row r="253" spans="22:24" x14ac:dyDescent="0.3">
      <c r="V253" s="1" t="s">
        <v>254</v>
      </c>
      <c r="W253" s="1" t="s">
        <v>259</v>
      </c>
      <c r="X253" s="1">
        <v>11</v>
      </c>
    </row>
    <row r="254" spans="22:24" x14ac:dyDescent="0.3">
      <c r="V254" s="1" t="s">
        <v>254</v>
      </c>
      <c r="W254" s="1" t="s">
        <v>260</v>
      </c>
      <c r="X254" s="1">
        <v>4</v>
      </c>
    </row>
    <row r="255" spans="22:24" x14ac:dyDescent="0.3">
      <c r="V255" s="1" t="s">
        <v>254</v>
      </c>
      <c r="W255" s="1" t="s">
        <v>261</v>
      </c>
      <c r="X255" s="1">
        <v>5</v>
      </c>
    </row>
    <row r="256" spans="22:24" x14ac:dyDescent="0.3">
      <c r="V256" s="1" t="s">
        <v>254</v>
      </c>
      <c r="W256" s="1" t="s">
        <v>262</v>
      </c>
      <c r="X256" s="1">
        <v>7</v>
      </c>
    </row>
    <row r="257" spans="22:24" x14ac:dyDescent="0.3">
      <c r="V257" s="1" t="s">
        <v>254</v>
      </c>
      <c r="W257" s="1" t="s">
        <v>263</v>
      </c>
      <c r="X257" s="1">
        <v>1</v>
      </c>
    </row>
    <row r="258" spans="22:24" x14ac:dyDescent="0.3">
      <c r="V258" s="1" t="s">
        <v>254</v>
      </c>
      <c r="W258" s="1" t="s">
        <v>264</v>
      </c>
      <c r="X258" s="1">
        <v>1</v>
      </c>
    </row>
    <row r="259" spans="22:24" x14ac:dyDescent="0.3">
      <c r="V259" s="1" t="s">
        <v>254</v>
      </c>
      <c r="W259" s="1" t="s">
        <v>265</v>
      </c>
      <c r="X259" s="1">
        <v>1</v>
      </c>
    </row>
    <row r="260" spans="22:24" x14ac:dyDescent="0.3">
      <c r="V260" s="1" t="s">
        <v>266</v>
      </c>
      <c r="W260" s="1" t="s">
        <v>267</v>
      </c>
      <c r="X260" s="1">
        <v>1</v>
      </c>
    </row>
    <row r="261" spans="22:24" x14ac:dyDescent="0.3">
      <c r="V261" s="1" t="s">
        <v>266</v>
      </c>
      <c r="W261" s="1" t="s">
        <v>268</v>
      </c>
      <c r="X261" s="1">
        <v>5</v>
      </c>
    </row>
    <row r="262" spans="22:24" x14ac:dyDescent="0.3">
      <c r="V262" s="1" t="s">
        <v>266</v>
      </c>
      <c r="W262" s="1" t="s">
        <v>269</v>
      </c>
      <c r="X262" s="1">
        <v>1</v>
      </c>
    </row>
    <row r="263" spans="22:24" x14ac:dyDescent="0.3">
      <c r="V263" s="1" t="s">
        <v>266</v>
      </c>
      <c r="W263" s="1" t="s">
        <v>270</v>
      </c>
      <c r="X263" s="1">
        <v>2</v>
      </c>
    </row>
    <row r="264" spans="22:24" x14ac:dyDescent="0.3">
      <c r="V264" s="1" t="s">
        <v>271</v>
      </c>
      <c r="W264" s="1" t="s">
        <v>272</v>
      </c>
      <c r="X264" s="1">
        <v>3</v>
      </c>
    </row>
    <row r="265" spans="22:24" x14ac:dyDescent="0.3">
      <c r="V265" s="1" t="s">
        <v>271</v>
      </c>
      <c r="W265" s="1" t="s">
        <v>273</v>
      </c>
      <c r="X265" s="1">
        <v>90</v>
      </c>
    </row>
    <row r="266" spans="22:24" x14ac:dyDescent="0.3">
      <c r="V266" s="1" t="s">
        <v>271</v>
      </c>
      <c r="W266" s="1" t="s">
        <v>195</v>
      </c>
      <c r="X266" s="1">
        <v>4</v>
      </c>
    </row>
    <row r="267" spans="22:24" x14ac:dyDescent="0.3">
      <c r="V267" s="1" t="s">
        <v>271</v>
      </c>
      <c r="W267" s="1" t="s">
        <v>274</v>
      </c>
      <c r="X267" s="1">
        <v>142</v>
      </c>
    </row>
    <row r="268" spans="22:24" x14ac:dyDescent="0.3">
      <c r="V268" s="1" t="s">
        <v>271</v>
      </c>
      <c r="W268" s="1" t="s">
        <v>275</v>
      </c>
      <c r="X268" s="1">
        <v>5</v>
      </c>
    </row>
    <row r="269" spans="22:24" x14ac:dyDescent="0.3">
      <c r="V269" s="1" t="s">
        <v>276</v>
      </c>
      <c r="W269" s="1" t="s">
        <v>277</v>
      </c>
      <c r="X269" s="1">
        <v>6</v>
      </c>
    </row>
    <row r="270" spans="22:24" x14ac:dyDescent="0.3">
      <c r="V270" s="1" t="s">
        <v>278</v>
      </c>
      <c r="W270" s="1" t="s">
        <v>279</v>
      </c>
      <c r="X270" s="1">
        <v>21</v>
      </c>
    </row>
    <row r="271" spans="22:24" x14ac:dyDescent="0.3">
      <c r="V271" s="1" t="s">
        <v>278</v>
      </c>
      <c r="W271" s="1" t="s">
        <v>280</v>
      </c>
      <c r="X271" s="1">
        <v>2</v>
      </c>
    </row>
    <row r="272" spans="22:24" x14ac:dyDescent="0.3">
      <c r="V272" s="1" t="s">
        <v>278</v>
      </c>
      <c r="W272" s="1" t="s">
        <v>281</v>
      </c>
      <c r="X272" s="1">
        <v>2</v>
      </c>
    </row>
    <row r="273" spans="22:24" x14ac:dyDescent="0.3">
      <c r="V273" s="1" t="s">
        <v>278</v>
      </c>
      <c r="W273" s="1" t="s">
        <v>282</v>
      </c>
      <c r="X273" s="1">
        <v>1</v>
      </c>
    </row>
    <row r="274" spans="22:24" x14ac:dyDescent="0.3">
      <c r="V274" s="1" t="s">
        <v>278</v>
      </c>
      <c r="W274" s="1" t="s">
        <v>283</v>
      </c>
      <c r="X274" s="1">
        <v>42</v>
      </c>
    </row>
    <row r="275" spans="22:24" x14ac:dyDescent="0.3">
      <c r="V275" s="1" t="s">
        <v>278</v>
      </c>
      <c r="W275" s="1" t="s">
        <v>284</v>
      </c>
      <c r="X275" s="1">
        <v>8</v>
      </c>
    </row>
    <row r="276" spans="22:24" x14ac:dyDescent="0.3">
      <c r="V276" s="1" t="s">
        <v>278</v>
      </c>
      <c r="W276" s="1" t="s">
        <v>285</v>
      </c>
      <c r="X276" s="1">
        <v>24</v>
      </c>
    </row>
    <row r="277" spans="22:24" x14ac:dyDescent="0.3">
      <c r="V277" s="1" t="s">
        <v>278</v>
      </c>
      <c r="W277" s="1" t="s">
        <v>286</v>
      </c>
      <c r="X277" s="1">
        <v>40</v>
      </c>
    </row>
    <row r="278" spans="22:24" x14ac:dyDescent="0.3">
      <c r="V278" s="1" t="s">
        <v>278</v>
      </c>
      <c r="W278" s="1" t="s">
        <v>287</v>
      </c>
      <c r="X278" s="1">
        <v>48</v>
      </c>
    </row>
    <row r="279" spans="22:24" x14ac:dyDescent="0.3">
      <c r="V279" s="1" t="s">
        <v>278</v>
      </c>
      <c r="W279" s="1" t="s">
        <v>288</v>
      </c>
      <c r="X279" s="1">
        <v>141</v>
      </c>
    </row>
    <row r="280" spans="22:24" x14ac:dyDescent="0.3">
      <c r="V280" s="1" t="s">
        <v>289</v>
      </c>
      <c r="W280" s="1" t="s">
        <v>290</v>
      </c>
      <c r="X280" s="1">
        <v>1</v>
      </c>
    </row>
    <row r="281" spans="22:24" x14ac:dyDescent="0.3">
      <c r="V281" s="1" t="s">
        <v>291</v>
      </c>
      <c r="W281" s="1" t="s">
        <v>292</v>
      </c>
      <c r="X281" s="1">
        <v>1</v>
      </c>
    </row>
    <row r="282" spans="22:24" x14ac:dyDescent="0.3">
      <c r="V282" s="1" t="s">
        <v>291</v>
      </c>
      <c r="W282" s="1" t="s">
        <v>293</v>
      </c>
      <c r="X282" s="1">
        <v>8</v>
      </c>
    </row>
    <row r="283" spans="22:24" x14ac:dyDescent="0.3">
      <c r="V283" s="1" t="s">
        <v>291</v>
      </c>
      <c r="W283" s="1" t="s">
        <v>294</v>
      </c>
      <c r="X283" s="1">
        <v>1</v>
      </c>
    </row>
    <row r="284" spans="22:24" x14ac:dyDescent="0.3">
      <c r="V284" s="1" t="s">
        <v>291</v>
      </c>
      <c r="W284" s="1" t="s">
        <v>295</v>
      </c>
      <c r="X284" s="1">
        <v>9</v>
      </c>
    </row>
    <row r="285" spans="22:24" x14ac:dyDescent="0.3">
      <c r="V285" s="1" t="s">
        <v>291</v>
      </c>
      <c r="W285" s="1" t="s">
        <v>296</v>
      </c>
      <c r="X285" s="1">
        <v>22</v>
      </c>
    </row>
    <row r="286" spans="22:24" x14ac:dyDescent="0.3">
      <c r="V286" s="1" t="s">
        <v>291</v>
      </c>
      <c r="W286" s="1" t="s">
        <v>297</v>
      </c>
      <c r="X286" s="1">
        <v>110</v>
      </c>
    </row>
    <row r="287" spans="22:24" x14ac:dyDescent="0.3">
      <c r="V287" s="1" t="s">
        <v>298</v>
      </c>
      <c r="W287" s="1" t="s">
        <v>299</v>
      </c>
      <c r="X287" s="1">
        <v>2</v>
      </c>
    </row>
    <row r="288" spans="22:24" x14ac:dyDescent="0.3">
      <c r="V288" s="1" t="s">
        <v>298</v>
      </c>
      <c r="W288" s="1" t="s">
        <v>300</v>
      </c>
      <c r="X288" s="1">
        <v>1</v>
      </c>
    </row>
    <row r="289" spans="22:24" x14ac:dyDescent="0.3">
      <c r="V289" s="1" t="s">
        <v>298</v>
      </c>
      <c r="W289" s="1" t="s">
        <v>301</v>
      </c>
      <c r="X289" s="1">
        <v>1</v>
      </c>
    </row>
    <row r="290" spans="22:24" x14ac:dyDescent="0.3">
      <c r="V290" s="1" t="s">
        <v>302</v>
      </c>
      <c r="W290" s="1">
        <v>320</v>
      </c>
      <c r="X290" s="1">
        <v>1</v>
      </c>
    </row>
    <row r="291" spans="22:24" x14ac:dyDescent="0.3">
      <c r="V291" s="1" t="s">
        <v>302</v>
      </c>
      <c r="W291" s="1">
        <v>530</v>
      </c>
      <c r="X291" s="1">
        <v>5</v>
      </c>
    </row>
    <row r="292" spans="22:24" x14ac:dyDescent="0.3">
      <c r="V292" s="1" t="s">
        <v>302</v>
      </c>
      <c r="W292" s="1" t="s">
        <v>303</v>
      </c>
      <c r="X292" s="1">
        <v>13</v>
      </c>
    </row>
    <row r="293" spans="22:24" x14ac:dyDescent="0.3">
      <c r="V293" s="1" t="s">
        <v>304</v>
      </c>
      <c r="W293" s="1" t="s">
        <v>305</v>
      </c>
      <c r="X293" s="1">
        <v>5</v>
      </c>
    </row>
    <row r="294" spans="22:24" x14ac:dyDescent="0.3">
      <c r="V294" s="1" t="s">
        <v>304</v>
      </c>
      <c r="W294" s="1" t="s">
        <v>306</v>
      </c>
      <c r="X294" s="1">
        <v>23</v>
      </c>
    </row>
    <row r="295" spans="22:24" x14ac:dyDescent="0.3">
      <c r="V295" s="1" t="s">
        <v>304</v>
      </c>
      <c r="W295" s="1" t="s">
        <v>307</v>
      </c>
      <c r="X295" s="1">
        <v>15</v>
      </c>
    </row>
    <row r="296" spans="22:24" x14ac:dyDescent="0.3">
      <c r="V296" s="1" t="s">
        <v>304</v>
      </c>
      <c r="W296" s="1" t="s">
        <v>308</v>
      </c>
      <c r="X296" s="1">
        <v>6</v>
      </c>
    </row>
    <row r="297" spans="22:24" x14ac:dyDescent="0.3">
      <c r="V297" s="1" t="s">
        <v>304</v>
      </c>
      <c r="W297" s="1" t="s">
        <v>309</v>
      </c>
      <c r="X297" s="1">
        <v>1</v>
      </c>
    </row>
    <row r="298" spans="22:24" x14ac:dyDescent="0.3">
      <c r="V298" s="1" t="s">
        <v>304</v>
      </c>
      <c r="W298" s="1" t="s">
        <v>310</v>
      </c>
      <c r="X298" s="1">
        <v>1</v>
      </c>
    </row>
    <row r="299" spans="22:24" x14ac:dyDescent="0.3">
      <c r="V299" s="1" t="s">
        <v>304</v>
      </c>
      <c r="W299" s="1" t="s">
        <v>311</v>
      </c>
      <c r="X299" s="1">
        <v>7</v>
      </c>
    </row>
    <row r="300" spans="22:24" x14ac:dyDescent="0.3">
      <c r="V300" s="1" t="s">
        <v>304</v>
      </c>
      <c r="W300" s="1" t="s">
        <v>312</v>
      </c>
      <c r="X300" s="1">
        <v>4</v>
      </c>
    </row>
    <row r="301" spans="22:24" x14ac:dyDescent="0.3">
      <c r="V301" s="1" t="s">
        <v>304</v>
      </c>
      <c r="W301" s="1" t="s">
        <v>313</v>
      </c>
      <c r="X301" s="1">
        <v>20</v>
      </c>
    </row>
    <row r="302" spans="22:24" x14ac:dyDescent="0.3">
      <c r="V302" s="1" t="s">
        <v>304</v>
      </c>
      <c r="W302" s="1" t="s">
        <v>314</v>
      </c>
      <c r="X302" s="1">
        <v>2</v>
      </c>
    </row>
    <row r="303" spans="22:24" x14ac:dyDescent="0.3">
      <c r="V303" s="1" t="s">
        <v>304</v>
      </c>
      <c r="W303" s="1" t="s">
        <v>315</v>
      </c>
      <c r="X303" s="1">
        <v>1</v>
      </c>
    </row>
    <row r="304" spans="22:24" x14ac:dyDescent="0.3">
      <c r="V304" s="1" t="s">
        <v>304</v>
      </c>
      <c r="W304" s="1" t="s">
        <v>316</v>
      </c>
      <c r="X304" s="1">
        <v>1</v>
      </c>
    </row>
    <row r="305" spans="22:24" x14ac:dyDescent="0.3">
      <c r="V305" s="1" t="s">
        <v>304</v>
      </c>
      <c r="W305" s="1" t="s">
        <v>317</v>
      </c>
      <c r="X305" s="1">
        <v>26</v>
      </c>
    </row>
    <row r="306" spans="22:24" x14ac:dyDescent="0.3">
      <c r="V306" s="1" t="s">
        <v>304</v>
      </c>
      <c r="W306" s="1" t="s">
        <v>318</v>
      </c>
      <c r="X306" s="1">
        <v>3</v>
      </c>
    </row>
    <row r="307" spans="22:24" x14ac:dyDescent="0.3">
      <c r="V307" s="1" t="s">
        <v>304</v>
      </c>
      <c r="W307" s="1" t="s">
        <v>319</v>
      </c>
      <c r="X307" s="1">
        <v>2</v>
      </c>
    </row>
    <row r="308" spans="22:24" x14ac:dyDescent="0.3">
      <c r="V308" s="1" t="s">
        <v>304</v>
      </c>
      <c r="W308" s="1" t="s">
        <v>320</v>
      </c>
      <c r="X308" s="1">
        <v>1</v>
      </c>
    </row>
    <row r="309" spans="22:24" x14ac:dyDescent="0.3">
      <c r="V309" s="1" t="s">
        <v>304</v>
      </c>
      <c r="W309" s="1" t="s">
        <v>321</v>
      </c>
      <c r="X309" s="1">
        <v>1</v>
      </c>
    </row>
    <row r="310" spans="22:24" x14ac:dyDescent="0.3">
      <c r="V310" s="1" t="s">
        <v>304</v>
      </c>
      <c r="W310" s="1" t="s">
        <v>322</v>
      </c>
      <c r="X310" s="1">
        <v>2</v>
      </c>
    </row>
    <row r="311" spans="22:24" x14ac:dyDescent="0.3">
      <c r="V311" s="1" t="s">
        <v>304</v>
      </c>
      <c r="W311" s="1" t="s">
        <v>323</v>
      </c>
      <c r="X311" s="1">
        <v>1</v>
      </c>
    </row>
    <row r="312" spans="22:24" x14ac:dyDescent="0.3">
      <c r="V312" s="1" t="s">
        <v>304</v>
      </c>
      <c r="W312" s="1" t="s">
        <v>324</v>
      </c>
      <c r="X312" s="1">
        <v>17</v>
      </c>
    </row>
    <row r="313" spans="22:24" x14ac:dyDescent="0.3">
      <c r="V313" s="1" t="s">
        <v>325</v>
      </c>
      <c r="W313" s="1" t="s">
        <v>326</v>
      </c>
      <c r="X313" s="1">
        <v>13</v>
      </c>
    </row>
    <row r="314" spans="22:24" x14ac:dyDescent="0.3">
      <c r="V314" s="1" t="s">
        <v>327</v>
      </c>
      <c r="W314" s="1" t="s">
        <v>328</v>
      </c>
      <c r="X314" s="1">
        <v>37</v>
      </c>
    </row>
    <row r="315" spans="22:24" x14ac:dyDescent="0.3">
      <c r="V315" s="1" t="s">
        <v>327</v>
      </c>
      <c r="W315" s="1" t="s">
        <v>329</v>
      </c>
      <c r="X315" s="1">
        <v>2</v>
      </c>
    </row>
    <row r="316" spans="22:24" x14ac:dyDescent="0.3">
      <c r="V316" s="1" t="s">
        <v>327</v>
      </c>
      <c r="W316" s="1" t="s">
        <v>330</v>
      </c>
      <c r="X316" s="1">
        <v>2</v>
      </c>
    </row>
    <row r="317" spans="22:24" x14ac:dyDescent="0.3">
      <c r="V317" s="1" t="s">
        <v>327</v>
      </c>
      <c r="W317" s="1" t="s">
        <v>331</v>
      </c>
      <c r="X317" s="1">
        <v>53</v>
      </c>
    </row>
    <row r="318" spans="22:24" x14ac:dyDescent="0.3">
      <c r="V318" s="1" t="s">
        <v>327</v>
      </c>
      <c r="W318" s="1" t="s">
        <v>332</v>
      </c>
      <c r="X318" s="1">
        <v>24</v>
      </c>
    </row>
    <row r="319" spans="22:24" x14ac:dyDescent="0.3">
      <c r="V319" s="1" t="s">
        <v>327</v>
      </c>
      <c r="W319" s="1" t="s">
        <v>333</v>
      </c>
      <c r="X319" s="1">
        <v>26</v>
      </c>
    </row>
    <row r="320" spans="22:24" x14ac:dyDescent="0.3">
      <c r="V320" s="1" t="s">
        <v>327</v>
      </c>
      <c r="W320" s="1" t="s">
        <v>334</v>
      </c>
      <c r="X320" s="1">
        <v>32</v>
      </c>
    </row>
    <row r="321" spans="22:24" x14ac:dyDescent="0.3">
      <c r="V321" s="1" t="s">
        <v>335</v>
      </c>
      <c r="W321" s="1" t="s">
        <v>336</v>
      </c>
      <c r="X321" s="1">
        <v>42</v>
      </c>
    </row>
    <row r="322" spans="22:24" x14ac:dyDescent="0.3">
      <c r="V322" s="1" t="s">
        <v>335</v>
      </c>
      <c r="W322" s="1" t="s">
        <v>337</v>
      </c>
      <c r="X322" s="1">
        <v>44</v>
      </c>
    </row>
    <row r="323" spans="22:24" x14ac:dyDescent="0.3">
      <c r="V323" s="1" t="s">
        <v>335</v>
      </c>
      <c r="W323" s="1" t="s">
        <v>338</v>
      </c>
      <c r="X323" s="1">
        <v>77</v>
      </c>
    </row>
    <row r="324" spans="22:24" x14ac:dyDescent="0.3">
      <c r="V324" s="1" t="s">
        <v>335</v>
      </c>
      <c r="W324" s="1" t="s">
        <v>339</v>
      </c>
      <c r="X324" s="1">
        <v>101</v>
      </c>
    </row>
    <row r="325" spans="22:24" x14ac:dyDescent="0.3">
      <c r="V325" s="1" t="s">
        <v>335</v>
      </c>
      <c r="W325" s="1" t="s">
        <v>340</v>
      </c>
      <c r="X325" s="1">
        <v>1</v>
      </c>
    </row>
    <row r="326" spans="22:24" x14ac:dyDescent="0.3">
      <c r="V326" s="1" t="s">
        <v>335</v>
      </c>
      <c r="W326" s="1" t="s">
        <v>341</v>
      </c>
      <c r="X326" s="1">
        <v>98</v>
      </c>
    </row>
    <row r="327" spans="22:24" x14ac:dyDescent="0.3">
      <c r="V327" s="1" t="s">
        <v>335</v>
      </c>
      <c r="W327" s="1" t="s">
        <v>342</v>
      </c>
      <c r="X327" s="1">
        <v>69</v>
      </c>
    </row>
    <row r="328" spans="22:24" x14ac:dyDescent="0.3">
      <c r="V328" s="1" t="s">
        <v>335</v>
      </c>
      <c r="W328" s="1" t="s">
        <v>343</v>
      </c>
      <c r="X328" s="1">
        <v>210</v>
      </c>
    </row>
    <row r="329" spans="22:24" x14ac:dyDescent="0.3">
      <c r="V329" s="1" t="s">
        <v>335</v>
      </c>
      <c r="W329" s="1" t="s">
        <v>344</v>
      </c>
      <c r="X329" s="1">
        <v>2</v>
      </c>
    </row>
    <row r="330" spans="22:24" x14ac:dyDescent="0.3">
      <c r="V330" s="1" t="s">
        <v>345</v>
      </c>
      <c r="W330" s="1">
        <v>2008</v>
      </c>
      <c r="X330" s="1">
        <v>17</v>
      </c>
    </row>
    <row r="331" spans="22:24" x14ac:dyDescent="0.3">
      <c r="V331" s="1" t="s">
        <v>345</v>
      </c>
      <c r="W331" s="1">
        <v>206</v>
      </c>
      <c r="X331" s="1">
        <v>91</v>
      </c>
    </row>
    <row r="332" spans="22:24" x14ac:dyDescent="0.3">
      <c r="V332" s="1" t="s">
        <v>345</v>
      </c>
      <c r="W332" s="1">
        <v>207</v>
      </c>
      <c r="X332" s="1">
        <v>467</v>
      </c>
    </row>
    <row r="333" spans="22:24" x14ac:dyDescent="0.3">
      <c r="V333" s="1" t="s">
        <v>345</v>
      </c>
      <c r="W333" s="1">
        <v>208</v>
      </c>
      <c r="X333" s="1">
        <v>65</v>
      </c>
    </row>
    <row r="334" spans="22:24" x14ac:dyDescent="0.3">
      <c r="V334" s="1" t="s">
        <v>345</v>
      </c>
      <c r="W334" s="1">
        <v>3008</v>
      </c>
      <c r="X334" s="1">
        <v>12</v>
      </c>
    </row>
    <row r="335" spans="22:24" x14ac:dyDescent="0.3">
      <c r="V335" s="1" t="s">
        <v>345</v>
      </c>
      <c r="W335" s="1">
        <v>307</v>
      </c>
      <c r="X335" s="1">
        <v>128</v>
      </c>
    </row>
    <row r="336" spans="22:24" x14ac:dyDescent="0.3">
      <c r="V336" s="1" t="s">
        <v>345</v>
      </c>
      <c r="W336" s="1">
        <v>308</v>
      </c>
      <c r="X336" s="1">
        <v>44</v>
      </c>
    </row>
    <row r="337" spans="22:24" x14ac:dyDescent="0.3">
      <c r="V337" s="1" t="s">
        <v>345</v>
      </c>
      <c r="W337" s="1">
        <v>407</v>
      </c>
      <c r="X337" s="1">
        <v>2</v>
      </c>
    </row>
    <row r="338" spans="22:24" x14ac:dyDescent="0.3">
      <c r="V338" s="1" t="s">
        <v>345</v>
      </c>
      <c r="W338" s="1">
        <v>408</v>
      </c>
      <c r="X338" s="1">
        <v>34</v>
      </c>
    </row>
    <row r="339" spans="22:24" x14ac:dyDescent="0.3">
      <c r="V339" s="1" t="s">
        <v>345</v>
      </c>
      <c r="W339" s="1">
        <v>5008</v>
      </c>
      <c r="X339" s="1">
        <v>1</v>
      </c>
    </row>
    <row r="340" spans="22:24" x14ac:dyDescent="0.3">
      <c r="V340" s="1" t="s">
        <v>345</v>
      </c>
      <c r="W340" s="1">
        <v>508</v>
      </c>
      <c r="X340" s="1">
        <v>1</v>
      </c>
    </row>
    <row r="341" spans="22:24" x14ac:dyDescent="0.3">
      <c r="V341" s="1" t="s">
        <v>345</v>
      </c>
      <c r="W341" s="1" t="s">
        <v>346</v>
      </c>
      <c r="X341" s="1">
        <v>2</v>
      </c>
    </row>
    <row r="342" spans="22:24" x14ac:dyDescent="0.3">
      <c r="V342" s="1" t="s">
        <v>345</v>
      </c>
      <c r="W342" s="1" t="s">
        <v>347</v>
      </c>
      <c r="X342" s="1">
        <v>6</v>
      </c>
    </row>
    <row r="343" spans="22:24" x14ac:dyDescent="0.3">
      <c r="V343" s="1" t="s">
        <v>345</v>
      </c>
      <c r="W343" s="1" t="s">
        <v>348</v>
      </c>
      <c r="X343" s="1">
        <v>10</v>
      </c>
    </row>
    <row r="344" spans="22:24" x14ac:dyDescent="0.3">
      <c r="V344" s="1" t="s">
        <v>345</v>
      </c>
      <c r="W344" s="1" t="s">
        <v>349</v>
      </c>
      <c r="X344" s="1">
        <v>1</v>
      </c>
    </row>
    <row r="345" spans="22:24" x14ac:dyDescent="0.3">
      <c r="V345" s="1" t="s">
        <v>350</v>
      </c>
      <c r="W345" s="1" t="s">
        <v>351</v>
      </c>
      <c r="X345" s="1">
        <v>5</v>
      </c>
    </row>
    <row r="346" spans="22:24" x14ac:dyDescent="0.3">
      <c r="V346" s="1" t="s">
        <v>350</v>
      </c>
      <c r="W346" s="1" t="s">
        <v>352</v>
      </c>
      <c r="X346" s="1">
        <v>12</v>
      </c>
    </row>
    <row r="347" spans="22:24" x14ac:dyDescent="0.3">
      <c r="V347" s="1" t="s">
        <v>350</v>
      </c>
      <c r="W347" s="1" t="s">
        <v>353</v>
      </c>
      <c r="X347" s="1">
        <v>1</v>
      </c>
    </row>
    <row r="348" spans="22:24" x14ac:dyDescent="0.3">
      <c r="V348" s="1" t="s">
        <v>350</v>
      </c>
      <c r="W348" s="1" t="s">
        <v>354</v>
      </c>
      <c r="X348" s="1">
        <v>3</v>
      </c>
    </row>
    <row r="349" spans="22:24" x14ac:dyDescent="0.3">
      <c r="V349" s="1" t="s">
        <v>183</v>
      </c>
      <c r="W349" s="1">
        <v>2500</v>
      </c>
      <c r="X349" s="1">
        <v>4</v>
      </c>
    </row>
    <row r="350" spans="22:24" x14ac:dyDescent="0.3">
      <c r="V350" s="1" t="s">
        <v>28</v>
      </c>
      <c r="W350" s="1" t="s">
        <v>355</v>
      </c>
      <c r="X350" s="1">
        <v>17</v>
      </c>
    </row>
    <row r="351" spans="22:24" x14ac:dyDescent="0.3">
      <c r="V351" s="1" t="s">
        <v>28</v>
      </c>
      <c r="W351" s="1" t="s">
        <v>356</v>
      </c>
      <c r="X351" s="1">
        <v>192</v>
      </c>
    </row>
    <row r="352" spans="22:24" x14ac:dyDescent="0.3">
      <c r="V352" s="1" t="s">
        <v>28</v>
      </c>
      <c r="W352" s="1" t="s">
        <v>357</v>
      </c>
      <c r="X352" s="1">
        <v>152</v>
      </c>
    </row>
    <row r="353" spans="22:24" x14ac:dyDescent="0.3">
      <c r="V353" s="1" t="s">
        <v>28</v>
      </c>
      <c r="W353" s="1" t="s">
        <v>358</v>
      </c>
      <c r="X353" s="1">
        <v>52</v>
      </c>
    </row>
    <row r="354" spans="22:24" x14ac:dyDescent="0.3">
      <c r="V354" s="1" t="s">
        <v>28</v>
      </c>
      <c r="W354" s="1" t="s">
        <v>359</v>
      </c>
      <c r="X354" s="1">
        <v>28</v>
      </c>
    </row>
    <row r="355" spans="22:24" x14ac:dyDescent="0.3">
      <c r="V355" s="1" t="s">
        <v>28</v>
      </c>
      <c r="W355" s="1" t="s">
        <v>360</v>
      </c>
      <c r="X355" s="1">
        <v>111</v>
      </c>
    </row>
    <row r="356" spans="22:24" x14ac:dyDescent="0.3">
      <c r="V356" s="1" t="s">
        <v>28</v>
      </c>
      <c r="W356" s="1" t="s">
        <v>361</v>
      </c>
      <c r="X356" s="1">
        <v>639</v>
      </c>
    </row>
    <row r="357" spans="22:24" x14ac:dyDescent="0.3">
      <c r="V357" s="1" t="s">
        <v>28</v>
      </c>
      <c r="W357" s="1" t="s">
        <v>362</v>
      </c>
      <c r="X357" s="1">
        <v>33</v>
      </c>
    </row>
    <row r="358" spans="22:24" x14ac:dyDescent="0.3">
      <c r="V358" s="1" t="s">
        <v>28</v>
      </c>
      <c r="W358" s="1" t="s">
        <v>363</v>
      </c>
      <c r="X358" s="1">
        <v>92</v>
      </c>
    </row>
    <row r="359" spans="22:24" x14ac:dyDescent="0.3">
      <c r="V359" s="1" t="s">
        <v>28</v>
      </c>
      <c r="W359" s="1" t="s">
        <v>364</v>
      </c>
      <c r="X359" s="1">
        <v>1</v>
      </c>
    </row>
    <row r="360" spans="22:24" x14ac:dyDescent="0.3">
      <c r="V360" s="1" t="s">
        <v>28</v>
      </c>
      <c r="W360" s="1" t="s">
        <v>365</v>
      </c>
      <c r="X360" s="1">
        <v>1039</v>
      </c>
    </row>
    <row r="361" spans="22:24" x14ac:dyDescent="0.3">
      <c r="V361" s="1" t="s">
        <v>28</v>
      </c>
      <c r="W361" s="1" t="s">
        <v>366</v>
      </c>
      <c r="X361" s="1">
        <v>11</v>
      </c>
    </row>
    <row r="362" spans="22:24" x14ac:dyDescent="0.3">
      <c r="V362" s="1" t="s">
        <v>28</v>
      </c>
      <c r="W362" s="1" t="s">
        <v>367</v>
      </c>
      <c r="X362" s="1">
        <v>2</v>
      </c>
    </row>
    <row r="363" spans="22:24" x14ac:dyDescent="0.3">
      <c r="V363" s="1" t="s">
        <v>28</v>
      </c>
      <c r="W363" s="1" t="s">
        <v>368</v>
      </c>
      <c r="X363" s="1">
        <v>39</v>
      </c>
    </row>
    <row r="364" spans="22:24" x14ac:dyDescent="0.3">
      <c r="V364" s="1" t="s">
        <v>369</v>
      </c>
      <c r="W364" s="1" t="s">
        <v>370</v>
      </c>
      <c r="X364" s="1">
        <v>2</v>
      </c>
    </row>
    <row r="365" spans="22:24" x14ac:dyDescent="0.3">
      <c r="V365" s="1" t="s">
        <v>371</v>
      </c>
      <c r="W365" s="1" t="s">
        <v>372</v>
      </c>
      <c r="X365" s="1">
        <v>3</v>
      </c>
    </row>
    <row r="366" spans="22:24" x14ac:dyDescent="0.3">
      <c r="V366" s="1" t="s">
        <v>371</v>
      </c>
      <c r="W366" s="1" t="s">
        <v>373</v>
      </c>
      <c r="X366" s="1">
        <v>4</v>
      </c>
    </row>
    <row r="367" spans="22:24" x14ac:dyDescent="0.3">
      <c r="V367" s="1" t="s">
        <v>374</v>
      </c>
      <c r="W367" s="1" t="s">
        <v>375</v>
      </c>
      <c r="X367" s="1">
        <v>5</v>
      </c>
    </row>
    <row r="368" spans="22:24" x14ac:dyDescent="0.3">
      <c r="V368" s="1" t="s">
        <v>376</v>
      </c>
      <c r="W368" s="1" t="s">
        <v>195</v>
      </c>
      <c r="X368" s="1">
        <v>8</v>
      </c>
    </row>
    <row r="369" spans="22:24" x14ac:dyDescent="0.3">
      <c r="V369" s="1" t="s">
        <v>376</v>
      </c>
      <c r="W369" s="1" t="s">
        <v>377</v>
      </c>
      <c r="X369" s="1">
        <v>4</v>
      </c>
    </row>
    <row r="370" spans="22:24" x14ac:dyDescent="0.3">
      <c r="V370" s="1" t="s">
        <v>378</v>
      </c>
      <c r="W370" s="1" t="s">
        <v>379</v>
      </c>
      <c r="X370" s="1">
        <v>3</v>
      </c>
    </row>
    <row r="371" spans="22:24" x14ac:dyDescent="0.3">
      <c r="V371" s="1" t="s">
        <v>378</v>
      </c>
      <c r="W371" s="1" t="s">
        <v>380</v>
      </c>
      <c r="X371" s="1">
        <v>303</v>
      </c>
    </row>
    <row r="372" spans="22:24" x14ac:dyDescent="0.3">
      <c r="V372" s="1" t="s">
        <v>378</v>
      </c>
      <c r="W372" s="1" t="s">
        <v>381</v>
      </c>
      <c r="X372" s="1">
        <v>146</v>
      </c>
    </row>
    <row r="373" spans="22:24" x14ac:dyDescent="0.3">
      <c r="V373" s="1" t="s">
        <v>378</v>
      </c>
      <c r="W373" s="1" t="s">
        <v>382</v>
      </c>
      <c r="X373" s="1">
        <v>113</v>
      </c>
    </row>
    <row r="374" spans="22:24" x14ac:dyDescent="0.3">
      <c r="V374" s="1" t="s">
        <v>378</v>
      </c>
      <c r="W374" s="1" t="s">
        <v>383</v>
      </c>
      <c r="X374" s="1">
        <v>2</v>
      </c>
    </row>
    <row r="375" spans="22:24" x14ac:dyDescent="0.3">
      <c r="V375" s="1" t="s">
        <v>378</v>
      </c>
      <c r="W375" s="1" t="s">
        <v>384</v>
      </c>
      <c r="X375" s="1">
        <v>8</v>
      </c>
    </row>
    <row r="376" spans="22:24" x14ac:dyDescent="0.3">
      <c r="V376" s="1" t="s">
        <v>378</v>
      </c>
      <c r="W376" s="1" t="s">
        <v>385</v>
      </c>
      <c r="X376" s="1">
        <v>5</v>
      </c>
    </row>
    <row r="377" spans="22:24" x14ac:dyDescent="0.3">
      <c r="V377" s="1" t="s">
        <v>386</v>
      </c>
      <c r="W377" s="1" t="s">
        <v>387</v>
      </c>
      <c r="X377" s="1">
        <v>4</v>
      </c>
    </row>
    <row r="378" spans="22:24" x14ac:dyDescent="0.3">
      <c r="V378" s="1" t="s">
        <v>26</v>
      </c>
      <c r="W378" s="1">
        <v>0</v>
      </c>
      <c r="X378" s="1">
        <v>1</v>
      </c>
    </row>
    <row r="379" spans="22:24" x14ac:dyDescent="0.3">
      <c r="V379" s="1" t="s">
        <v>26</v>
      </c>
      <c r="W379" s="1" t="s">
        <v>388</v>
      </c>
      <c r="X379" s="1">
        <v>84</v>
      </c>
    </row>
    <row r="380" spans="22:24" x14ac:dyDescent="0.3">
      <c r="V380" s="1" t="s">
        <v>26</v>
      </c>
      <c r="W380" s="1" t="s">
        <v>389</v>
      </c>
      <c r="X380" s="1">
        <v>14</v>
      </c>
    </row>
    <row r="381" spans="22:24" x14ac:dyDescent="0.3">
      <c r="V381" s="1" t="s">
        <v>26</v>
      </c>
      <c r="W381" s="1" t="s">
        <v>390</v>
      </c>
      <c r="X381" s="1">
        <v>76</v>
      </c>
    </row>
    <row r="382" spans="22:24" x14ac:dyDescent="0.3">
      <c r="V382" s="1" t="s">
        <v>26</v>
      </c>
      <c r="W382" s="1" t="s">
        <v>391</v>
      </c>
      <c r="X382" s="1">
        <v>983</v>
      </c>
    </row>
    <row r="383" spans="22:24" x14ac:dyDescent="0.3">
      <c r="V383" s="1" t="s">
        <v>26</v>
      </c>
      <c r="W383" s="1" t="s">
        <v>392</v>
      </c>
      <c r="X383" s="1">
        <v>7</v>
      </c>
    </row>
    <row r="384" spans="22:24" x14ac:dyDescent="0.3">
      <c r="V384" s="1" t="s">
        <v>26</v>
      </c>
      <c r="W384" s="1" t="s">
        <v>393</v>
      </c>
      <c r="X384" s="1">
        <v>1547</v>
      </c>
    </row>
    <row r="385" spans="22:24" x14ac:dyDescent="0.3">
      <c r="V385" s="1" t="s">
        <v>26</v>
      </c>
      <c r="W385" s="1" t="s">
        <v>394</v>
      </c>
      <c r="X385" s="1">
        <v>186</v>
      </c>
    </row>
    <row r="386" spans="22:24" x14ac:dyDescent="0.3">
      <c r="V386" s="1" t="s">
        <v>26</v>
      </c>
      <c r="W386" s="1" t="s">
        <v>395</v>
      </c>
      <c r="X386" s="1">
        <v>189</v>
      </c>
    </row>
    <row r="387" spans="22:24" x14ac:dyDescent="0.3">
      <c r="V387" s="1" t="s">
        <v>26</v>
      </c>
      <c r="W387" s="1" t="s">
        <v>396</v>
      </c>
      <c r="X387" s="1">
        <v>42</v>
      </c>
    </row>
    <row r="388" spans="22:24" x14ac:dyDescent="0.3">
      <c r="V388" s="1" t="s">
        <v>26</v>
      </c>
      <c r="W388" s="1" t="s">
        <v>397</v>
      </c>
      <c r="X388" s="1">
        <v>18</v>
      </c>
    </row>
    <row r="389" spans="22:24" x14ac:dyDescent="0.3">
      <c r="V389" s="1" t="s">
        <v>26</v>
      </c>
      <c r="W389" s="1" t="s">
        <v>398</v>
      </c>
      <c r="X389" s="1">
        <v>16</v>
      </c>
    </row>
    <row r="390" spans="22:24" x14ac:dyDescent="0.3">
      <c r="V390" s="1" t="s">
        <v>26</v>
      </c>
      <c r="W390" s="1" t="s">
        <v>399</v>
      </c>
      <c r="X390" s="1">
        <v>35</v>
      </c>
    </row>
    <row r="391" spans="22:24" x14ac:dyDescent="0.3">
      <c r="V391" s="1" t="s">
        <v>26</v>
      </c>
      <c r="W391" s="1" t="s">
        <v>400</v>
      </c>
      <c r="X391" s="1">
        <v>15</v>
      </c>
    </row>
    <row r="392" spans="22:24" x14ac:dyDescent="0.3">
      <c r="V392" s="1" t="s">
        <v>26</v>
      </c>
      <c r="W392" s="1" t="s">
        <v>401</v>
      </c>
      <c r="X392" s="1">
        <v>227</v>
      </c>
    </row>
    <row r="393" spans="22:24" x14ac:dyDescent="0.3">
      <c r="V393" s="1" t="s">
        <v>26</v>
      </c>
      <c r="W393" s="1" t="s">
        <v>402</v>
      </c>
      <c r="X393" s="1">
        <v>280</v>
      </c>
    </row>
    <row r="394" spans="22:24" x14ac:dyDescent="0.3">
      <c r="V394" s="1" t="s">
        <v>26</v>
      </c>
      <c r="W394" s="1" t="s">
        <v>403</v>
      </c>
      <c r="X394" s="1">
        <v>7</v>
      </c>
    </row>
    <row r="395" spans="22:24" x14ac:dyDescent="0.3">
      <c r="V395" s="1" t="s">
        <v>26</v>
      </c>
      <c r="W395" s="1" t="s">
        <v>404</v>
      </c>
      <c r="X395" s="1">
        <v>153</v>
      </c>
    </row>
    <row r="396" spans="22:24" x14ac:dyDescent="0.3">
      <c r="V396" s="1" t="s">
        <v>26</v>
      </c>
      <c r="W396" s="1" t="s">
        <v>405</v>
      </c>
      <c r="X396" s="1">
        <v>18</v>
      </c>
    </row>
    <row r="397" spans="22:24" x14ac:dyDescent="0.3">
      <c r="V397" s="1" t="s">
        <v>26</v>
      </c>
      <c r="W397" s="1" t="s">
        <v>406</v>
      </c>
      <c r="X397" s="1">
        <v>62</v>
      </c>
    </row>
    <row r="398" spans="22:24" x14ac:dyDescent="0.3">
      <c r="V398" s="1" t="s">
        <v>26</v>
      </c>
      <c r="W398" s="1" t="s">
        <v>407</v>
      </c>
      <c r="X398" s="1">
        <v>2</v>
      </c>
    </row>
    <row r="399" spans="22:24" x14ac:dyDescent="0.3">
      <c r="V399" s="1" t="s">
        <v>26</v>
      </c>
      <c r="W399" s="1" t="s">
        <v>408</v>
      </c>
      <c r="X399" s="1">
        <v>150</v>
      </c>
    </row>
    <row r="400" spans="22:24" x14ac:dyDescent="0.3">
      <c r="V400" s="1" t="s">
        <v>26</v>
      </c>
      <c r="W400" s="1" t="s">
        <v>409</v>
      </c>
      <c r="X400" s="1">
        <v>50</v>
      </c>
    </row>
    <row r="401" spans="22:24" x14ac:dyDescent="0.3">
      <c r="V401" s="1" t="s">
        <v>26</v>
      </c>
      <c r="W401" s="1" t="s">
        <v>410</v>
      </c>
      <c r="X401" s="1">
        <v>637</v>
      </c>
    </row>
    <row r="402" spans="22:24" x14ac:dyDescent="0.3">
      <c r="V402" s="1" t="s">
        <v>26</v>
      </c>
      <c r="W402" s="1" t="s">
        <v>411</v>
      </c>
      <c r="X402" s="1">
        <v>1</v>
      </c>
    </row>
    <row r="403" spans="22:24" x14ac:dyDescent="0.3">
      <c r="V403" s="1" t="s">
        <v>26</v>
      </c>
      <c r="W403" s="1" t="s">
        <v>412</v>
      </c>
      <c r="X403" s="1">
        <v>1</v>
      </c>
    </row>
    <row r="404" spans="22:24" x14ac:dyDescent="0.3">
      <c r="V404" s="1" t="s">
        <v>413</v>
      </c>
      <c r="W404" s="1" t="s">
        <v>414</v>
      </c>
      <c r="X404" s="1">
        <v>1</v>
      </c>
    </row>
    <row r="405" spans="22:24" x14ac:dyDescent="0.3">
      <c r="V405" s="1" t="s">
        <v>413</v>
      </c>
      <c r="W405" s="1" t="s">
        <v>415</v>
      </c>
      <c r="X405" s="1">
        <v>7</v>
      </c>
    </row>
    <row r="406" spans="22:24" x14ac:dyDescent="0.3">
      <c r="V406" s="1" t="s">
        <v>413</v>
      </c>
      <c r="W406" s="1" t="s">
        <v>416</v>
      </c>
      <c r="X406" s="1">
        <v>5</v>
      </c>
    </row>
    <row r="407" spans="22:24" x14ac:dyDescent="0.3">
      <c r="V407" s="1" t="s">
        <v>413</v>
      </c>
      <c r="W407" s="1" t="s">
        <v>417</v>
      </c>
      <c r="X407" s="1">
        <v>2</v>
      </c>
    </row>
    <row r="408" spans="22:24" x14ac:dyDescent="0.3">
      <c r="V408" s="1" t="s">
        <v>413</v>
      </c>
      <c r="W408" s="1" t="s">
        <v>418</v>
      </c>
      <c r="X408" s="1">
        <v>32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3CE6C-C51E-4BD1-9444-EF514F8C452A}">
  <sheetPr codeName="Planilha5">
    <tabColor rgb="FF404040"/>
  </sheetPr>
  <dimension ref="B1:B22"/>
  <sheetViews>
    <sheetView showGridLines="0" zoomScale="70" zoomScaleNormal="70" workbookViewId="0">
      <selection activeCell="B1" sqref="B1"/>
    </sheetView>
  </sheetViews>
  <sheetFormatPr defaultRowHeight="14.4" x14ac:dyDescent="0.3"/>
  <sheetData>
    <row r="1" spans="2:2" x14ac:dyDescent="0.3">
      <c r="B1" t="s">
        <v>41</v>
      </c>
    </row>
    <row r="22" spans="2:2" x14ac:dyDescent="0.3">
      <c r="B22" t="s">
        <v>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Dashboard</vt:lpstr>
      <vt:lpstr>Perfil dos Leads</vt:lpstr>
      <vt:lpstr>Resultados</vt:lpstr>
      <vt:lpstr>Queries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Midori Toyota</dc:creator>
  <cp:lastModifiedBy>Caroline Maglio</cp:lastModifiedBy>
  <cp:lastPrinted>2021-12-25T02:20:17Z</cp:lastPrinted>
  <dcterms:created xsi:type="dcterms:W3CDTF">2015-06-05T18:17:20Z</dcterms:created>
  <dcterms:modified xsi:type="dcterms:W3CDTF">2026-02-16T14:27:48Z</dcterms:modified>
</cp:coreProperties>
</file>